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b3168_cam_ac_uk/Documents/CamSIF Industrials Michaelmas/"/>
    </mc:Choice>
  </mc:AlternateContent>
  <xr:revisionPtr revIDLastSave="3691" documentId="120_S{9188F77D-7AE3-56BC-A15B-EA10CB92F7D9}" xr6:coauthVersionLast="47" xr6:coauthVersionMax="47" xr10:uidLastSave="{E53B9CEF-C8CC-4987-915D-03737D928A55}"/>
  <bookViews>
    <workbookView xWindow="-108" yWindow="-108" windowWidth="23256" windowHeight="13896" tabRatio="815" firstSheet="1" activeTab="4" xr2:uid="{00000000-000D-0000-FFFF-FFFF00000000}"/>
  </bookViews>
  <sheets>
    <sheet name="Cover" sheetId="1" r:id="rId1"/>
    <sheet name="Assumptions" sheetId="2" r:id="rId2"/>
    <sheet name="Metrics &amp; Drivers" sheetId="3" state="hidden" r:id="rId3"/>
    <sheet name="Additional Schedules" sheetId="4" state="hidden" r:id="rId4"/>
    <sheet name="Three Statement Model" sheetId="9" r:id="rId5"/>
    <sheet name="DCF" sheetId="6" r:id="rId6"/>
    <sheet name="WACC" sheetId="7" r:id="rId7"/>
    <sheet name="Comps" sheetId="5" r:id="rId8"/>
    <sheet name="FIELD" sheetId="10" r:id="rId9"/>
    <sheet name="Case Comparison" sheetId="12" r:id="rId10"/>
    <sheet name="Formatting" sheetId="11" r:id="rId11"/>
    <sheet name="Stock Data" sheetId="13" r:id="rId12"/>
  </sheets>
  <externalReferences>
    <externalReference r:id="rId13"/>
    <externalReference r:id="rId14"/>
  </externalReferences>
  <definedNames>
    <definedName name="CIQWBGuid" localSheetId="1">"e778162b-a8f3-4f2e-935f-34d73fb7e972"</definedName>
    <definedName name="CIQWBGuid" localSheetId="4" hidden="1">"2cd8126d-26c3-430c-b7fa-a069e3a1fc62"</definedName>
    <definedName name="CIQWBGuid">"eeeac8b3-2cb4-40c8-a5e7-67bd1e29d27d"</definedName>
    <definedName name="CIQWBInfo">"{ ""CIQVersion"":""9.51.3510.3078"" }"</definedName>
    <definedName name="CurrentPrice">Cover!$G$19</definedName>
    <definedName name="Gross_Profit">'[1]Advanced Financial Analysis'!$9:$9</definedName>
    <definedName name="IFF_Price">Cover!$G$19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 localSheetId="4" hidden="1">41666.7099189815</definedName>
    <definedName name="IQ_NAMES_REVISION_DATE_">45318.8008796296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Sensitivity">'[1]Advanced Financial Analysis'!$D$49</definedName>
    <definedName name="SG_A">'[1]Advanced Financial Analysis'!$11:$11</definedName>
    <definedName name="TargetCurrentPrice">Comps!$E$18</definedName>
    <definedName name="TargetDilutedShares">Comps!$F$18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VduHK6Em7go22kaUDoWvRLqykwWPwGUvgO1Zh13JY+g="/>
    </ext>
  </extLst>
</workbook>
</file>

<file path=xl/calcChain.xml><?xml version="1.0" encoding="utf-8"?>
<calcChain xmlns="http://schemas.openxmlformats.org/spreadsheetml/2006/main">
  <c r="I13" i="2" l="1"/>
  <c r="I19" i="2"/>
  <c r="I10" i="2"/>
  <c r="I8" i="10"/>
  <c r="L7" i="12"/>
  <c r="L6" i="12"/>
  <c r="M7" i="12" s="1"/>
  <c r="M9" i="12" s="1"/>
  <c r="G7" i="12"/>
  <c r="G6" i="12"/>
  <c r="J8" i="12" s="1"/>
  <c r="G8" i="12"/>
  <c r="G5" i="12"/>
  <c r="H8" i="12" s="1"/>
  <c r="G4" i="12"/>
  <c r="J8" i="10"/>
  <c r="H8" i="10"/>
  <c r="J4" i="11"/>
  <c r="J3" i="11"/>
  <c r="G3" i="11"/>
  <c r="C64" i="6"/>
  <c r="F64" i="6"/>
  <c r="G64" i="6" s="1"/>
  <c r="H64" i="6" s="1"/>
  <c r="I64" i="6" s="1"/>
  <c r="J64" i="6" s="1"/>
  <c r="E64" i="6"/>
  <c r="G8" i="10"/>
  <c r="G7" i="10"/>
  <c r="G6" i="10"/>
  <c r="G5" i="10"/>
  <c r="G4" i="10"/>
  <c r="I8" i="12" l="1"/>
  <c r="O25" i="5"/>
  <c r="E17" i="9"/>
  <c r="F17" i="9"/>
  <c r="D17" i="9"/>
  <c r="G17" i="9"/>
  <c r="E16" i="9"/>
  <c r="G86" i="2" s="1"/>
  <c r="F16" i="9"/>
  <c r="H86" i="2" s="1"/>
  <c r="D16" i="9"/>
  <c r="F86" i="2"/>
  <c r="I14" i="2"/>
  <c r="F10" i="2"/>
  <c r="G10" i="2"/>
  <c r="H10" i="2"/>
  <c r="D114" i="9"/>
  <c r="D115" i="9" s="1"/>
  <c r="D33" i="9"/>
  <c r="G33" i="9"/>
  <c r="I26" i="2" s="1"/>
  <c r="F33" i="9"/>
  <c r="E33" i="9"/>
  <c r="G46" i="9"/>
  <c r="G47" i="9" s="1"/>
  <c r="E47" i="9"/>
  <c r="F47" i="9"/>
  <c r="D47" i="9"/>
  <c r="H5" i="6"/>
  <c r="I5" i="6"/>
  <c r="J5" i="6"/>
  <c r="F3" i="6"/>
  <c r="G81" i="9"/>
  <c r="M21" i="5"/>
  <c r="M20" i="5"/>
  <c r="D21" i="5"/>
  <c r="D22" i="5"/>
  <c r="D23" i="5"/>
  <c r="D25" i="5"/>
  <c r="C25" i="5"/>
  <c r="D24" i="5"/>
  <c r="C24" i="5"/>
  <c r="C23" i="5"/>
  <c r="C22" i="5"/>
  <c r="C21" i="5"/>
  <c r="D20" i="5"/>
  <c r="C20" i="5"/>
  <c r="K18" i="5"/>
  <c r="L18" i="5"/>
  <c r="L8" i="5"/>
  <c r="L9" i="5"/>
  <c r="L10" i="5"/>
  <c r="L11" i="5"/>
  <c r="L12" i="5"/>
  <c r="L13" i="5"/>
  <c r="L14" i="5"/>
  <c r="L16" i="5"/>
  <c r="L7" i="5"/>
  <c r="K8" i="5"/>
  <c r="K9" i="5"/>
  <c r="K10" i="5"/>
  <c r="K11" i="5"/>
  <c r="K12" i="5"/>
  <c r="K13" i="5"/>
  <c r="K14" i="5"/>
  <c r="K15" i="5"/>
  <c r="K16" i="5"/>
  <c r="K7" i="5"/>
  <c r="G27" i="1"/>
  <c r="K80" i="9"/>
  <c r="J80" i="9"/>
  <c r="I80" i="9"/>
  <c r="H80" i="9"/>
  <c r="G80" i="9"/>
  <c r="F80" i="9"/>
  <c r="F83" i="9" s="1"/>
  <c r="F88" i="9" s="1"/>
  <c r="H85" i="9"/>
  <c r="I85" i="9" s="1"/>
  <c r="F94" i="9"/>
  <c r="F95" i="9" s="1"/>
  <c r="E94" i="9"/>
  <c r="E95" i="9" s="1"/>
  <c r="D94" i="9"/>
  <c r="D95" i="9" s="1"/>
  <c r="G95" i="9"/>
  <c r="E80" i="9"/>
  <c r="D80" i="9"/>
  <c r="I114" i="9"/>
  <c r="J114" i="9"/>
  <c r="K114" i="9"/>
  <c r="H114" i="9"/>
  <c r="H110" i="9"/>
  <c r="I110" i="9"/>
  <c r="J110" i="9"/>
  <c r="K110" i="9"/>
  <c r="H45" i="9"/>
  <c r="I45" i="9" s="1"/>
  <c r="J45" i="9" s="1"/>
  <c r="K45" i="9" s="1"/>
  <c r="I125" i="9"/>
  <c r="J125" i="9"/>
  <c r="K125" i="9"/>
  <c r="H125" i="9"/>
  <c r="H61" i="9"/>
  <c r="I61" i="9" s="1"/>
  <c r="J61" i="9" s="1"/>
  <c r="K61" i="9" s="1"/>
  <c r="G138" i="9"/>
  <c r="H136" i="9" s="1"/>
  <c r="E10" i="7"/>
  <c r="G22" i="7" s="1"/>
  <c r="G4" i="11" s="1"/>
  <c r="G5" i="11" s="1"/>
  <c r="I3" i="11" s="1"/>
  <c r="E8" i="7"/>
  <c r="E9" i="7"/>
  <c r="G21" i="7"/>
  <c r="E125" i="9"/>
  <c r="F125" i="9"/>
  <c r="G125" i="9"/>
  <c r="G119" i="9"/>
  <c r="F119" i="9"/>
  <c r="E119" i="9"/>
  <c r="D119" i="9"/>
  <c r="G118" i="9"/>
  <c r="G16" i="9" s="1"/>
  <c r="I86" i="2" s="1"/>
  <c r="E115" i="9"/>
  <c r="F115" i="9"/>
  <c r="G108" i="9"/>
  <c r="G115" i="9" s="1"/>
  <c r="E106" i="9"/>
  <c r="F106" i="9"/>
  <c r="G106" i="9"/>
  <c r="D106" i="9"/>
  <c r="E71" i="9"/>
  <c r="F71" i="9"/>
  <c r="G71" i="9"/>
  <c r="G151" i="9" s="1"/>
  <c r="H148" i="9" s="1"/>
  <c r="D71" i="9"/>
  <c r="D85" i="9"/>
  <c r="E67" i="9"/>
  <c r="F67" i="9"/>
  <c r="G67" i="9"/>
  <c r="D67" i="9"/>
  <c r="I4" i="11" l="1"/>
  <c r="J5" i="11" s="1"/>
  <c r="H11" i="2"/>
  <c r="G11" i="2"/>
  <c r="G83" i="9"/>
  <c r="G88" i="9" s="1"/>
  <c r="E74" i="9"/>
  <c r="D74" i="9"/>
  <c r="G23" i="7"/>
  <c r="I21" i="7" s="1"/>
  <c r="D83" i="9"/>
  <c r="E83" i="9"/>
  <c r="F74" i="9"/>
  <c r="G74" i="9"/>
  <c r="J85" i="9"/>
  <c r="G97" i="9"/>
  <c r="F97" i="9"/>
  <c r="I5" i="11" l="1"/>
  <c r="E88" i="9"/>
  <c r="E97" i="9" s="1"/>
  <c r="E98" i="9" s="1"/>
  <c r="F98" i="9"/>
  <c r="D88" i="9"/>
  <c r="D97" i="9" s="1"/>
  <c r="D98" i="9" s="1"/>
  <c r="G98" i="9"/>
  <c r="I22" i="7"/>
  <c r="I23" i="7" s="1"/>
  <c r="K85" i="9"/>
  <c r="E12" i="9" l="1"/>
  <c r="G129" i="9"/>
  <c r="G133" i="9" s="1"/>
  <c r="G137" i="9" s="1"/>
  <c r="F129" i="9"/>
  <c r="F133" i="9" s="1"/>
  <c r="F137" i="9" s="1"/>
  <c r="E129" i="9"/>
  <c r="E133" i="9" s="1"/>
  <c r="E137" i="9" s="1"/>
  <c r="D129" i="9"/>
  <c r="D125" i="9"/>
  <c r="K102" i="9"/>
  <c r="J102" i="9"/>
  <c r="I102" i="9"/>
  <c r="H102" i="9"/>
  <c r="G102" i="9"/>
  <c r="F102" i="9"/>
  <c r="E102" i="9"/>
  <c r="D102" i="9"/>
  <c r="H129" i="9"/>
  <c r="H133" i="9" s="1"/>
  <c r="K57" i="9"/>
  <c r="J57" i="9"/>
  <c r="I57" i="9"/>
  <c r="H57" i="9"/>
  <c r="G57" i="9"/>
  <c r="F57" i="9"/>
  <c r="E57" i="9"/>
  <c r="D57" i="9"/>
  <c r="H53" i="9"/>
  <c r="I53" i="9" s="1"/>
  <c r="J53" i="9" s="1"/>
  <c r="K53" i="9" s="1"/>
  <c r="G40" i="9"/>
  <c r="F40" i="9"/>
  <c r="E40" i="9"/>
  <c r="D40" i="9"/>
  <c r="G34" i="9"/>
  <c r="G13" i="9" s="1"/>
  <c r="F34" i="9"/>
  <c r="F13" i="9" s="1"/>
  <c r="E34" i="9"/>
  <c r="E13" i="9" s="1"/>
  <c r="D34" i="9"/>
  <c r="D13" i="9" s="1"/>
  <c r="K30" i="9"/>
  <c r="J30" i="9"/>
  <c r="I30" i="9"/>
  <c r="H30" i="9"/>
  <c r="G30" i="9"/>
  <c r="F30" i="9"/>
  <c r="E30" i="9"/>
  <c r="D30" i="9"/>
  <c r="G26" i="9"/>
  <c r="F26" i="9"/>
  <c r="E26" i="9"/>
  <c r="D26" i="9"/>
  <c r="F25" i="9"/>
  <c r="E25" i="9"/>
  <c r="D25" i="9"/>
  <c r="F24" i="9"/>
  <c r="E24" i="9"/>
  <c r="D24" i="9"/>
  <c r="F23" i="9"/>
  <c r="E23" i="9"/>
  <c r="D23" i="9"/>
  <c r="G22" i="9"/>
  <c r="F22" i="9"/>
  <c r="E22" i="9"/>
  <c r="D22" i="9"/>
  <c r="G18" i="9"/>
  <c r="F18" i="9"/>
  <c r="E18" i="9"/>
  <c r="D18" i="9"/>
  <c r="G15" i="9"/>
  <c r="F15" i="9"/>
  <c r="E15" i="9"/>
  <c r="D15" i="9"/>
  <c r="G14" i="9"/>
  <c r="F14" i="9"/>
  <c r="E14" i="9"/>
  <c r="D14" i="9"/>
  <c r="G12" i="9"/>
  <c r="F12" i="9"/>
  <c r="K9" i="9"/>
  <c r="G9" i="9"/>
  <c r="G23" i="9" s="1"/>
  <c r="D133" i="9" l="1"/>
  <c r="D137" i="9" s="1"/>
  <c r="G24" i="9"/>
  <c r="H24" i="9" s="1"/>
  <c r="F42" i="9"/>
  <c r="G42" i="9"/>
  <c r="D42" i="9"/>
  <c r="E42" i="9"/>
  <c r="E48" i="9" s="1"/>
  <c r="G25" i="9"/>
  <c r="H22" i="9"/>
  <c r="I22" i="9" s="1"/>
  <c r="H26" i="9"/>
  <c r="I26" i="9" s="1"/>
  <c r="H128" i="9"/>
  <c r="E51" i="9" l="1"/>
  <c r="E105" i="9" s="1"/>
  <c r="F48" i="9"/>
  <c r="G48" i="9"/>
  <c r="D48" i="9"/>
  <c r="D19" i="9" s="1"/>
  <c r="J26" i="9"/>
  <c r="K26" i="9" s="1"/>
  <c r="I24" i="9"/>
  <c r="J128" i="9"/>
  <c r="J129" i="9"/>
  <c r="J133" i="9" s="1"/>
  <c r="I128" i="9"/>
  <c r="I129" i="9"/>
  <c r="I133" i="9" s="1"/>
  <c r="J22" i="9"/>
  <c r="D51" i="9" l="1"/>
  <c r="D105" i="9" s="1"/>
  <c r="G19" i="9"/>
  <c r="G51" i="9"/>
  <c r="G105" i="9" s="1"/>
  <c r="F19" i="9"/>
  <c r="F51" i="9"/>
  <c r="F105" i="9" s="1"/>
  <c r="J24" i="9"/>
  <c r="K24" i="9" s="1"/>
  <c r="K128" i="9"/>
  <c r="K129" i="9"/>
  <c r="K133" i="9" s="1"/>
  <c r="K22" i="9"/>
  <c r="J11" i="7" l="1"/>
  <c r="J21" i="7" s="1"/>
  <c r="J23" i="7" s="1"/>
  <c r="G19" i="2"/>
  <c r="G50" i="2" s="1"/>
  <c r="H19" i="2"/>
  <c r="H44" i="2" s="1"/>
  <c r="F19" i="2"/>
  <c r="F62" i="2" s="1"/>
  <c r="I91" i="2"/>
  <c r="J15" i="7"/>
  <c r="J18" i="7"/>
  <c r="J22" i="7"/>
  <c r="F26" i="2"/>
  <c r="G26" i="2"/>
  <c r="H26" i="2"/>
  <c r="S7" i="6"/>
  <c r="N7" i="6"/>
  <c r="M25" i="5"/>
  <c r="L25" i="5"/>
  <c r="K25" i="5"/>
  <c r="J25" i="5"/>
  <c r="I25" i="5"/>
  <c r="H25" i="5"/>
  <c r="G25" i="5"/>
  <c r="F25" i="5"/>
  <c r="E25" i="5"/>
  <c r="M24" i="5"/>
  <c r="L24" i="5"/>
  <c r="K24" i="5"/>
  <c r="J24" i="5"/>
  <c r="I24" i="5"/>
  <c r="H24" i="5"/>
  <c r="G24" i="5"/>
  <c r="F24" i="5"/>
  <c r="E24" i="5"/>
  <c r="M23" i="5"/>
  <c r="L23" i="5"/>
  <c r="K23" i="5"/>
  <c r="J23" i="5"/>
  <c r="I23" i="5"/>
  <c r="H23" i="5"/>
  <c r="G23" i="5"/>
  <c r="F23" i="5"/>
  <c r="E23" i="5"/>
  <c r="M22" i="5"/>
  <c r="L22" i="5"/>
  <c r="K22" i="5"/>
  <c r="J22" i="5"/>
  <c r="I22" i="5"/>
  <c r="H22" i="5"/>
  <c r="G22" i="5"/>
  <c r="F22" i="5"/>
  <c r="E22" i="5"/>
  <c r="L21" i="5"/>
  <c r="K21" i="5"/>
  <c r="J21" i="5"/>
  <c r="I21" i="5"/>
  <c r="H21" i="5"/>
  <c r="G21" i="5"/>
  <c r="F21" i="5"/>
  <c r="E21" i="5"/>
  <c r="L20" i="5"/>
  <c r="K20" i="5"/>
  <c r="J20" i="5"/>
  <c r="I20" i="5"/>
  <c r="H20" i="5"/>
  <c r="G20" i="5"/>
  <c r="F20" i="5"/>
  <c r="E20" i="5"/>
  <c r="F3" i="5"/>
  <c r="H5" i="4"/>
  <c r="I5" i="4"/>
  <c r="J5" i="4"/>
  <c r="K5" i="4"/>
  <c r="L5" i="4"/>
  <c r="M5" i="4"/>
  <c r="G5" i="4"/>
  <c r="G5" i="3"/>
  <c r="H5" i="3"/>
  <c r="I5" i="3"/>
  <c r="J5" i="3"/>
  <c r="K5" i="3"/>
  <c r="L5" i="3"/>
  <c r="M5" i="3"/>
  <c r="G3" i="3"/>
  <c r="G97" i="2"/>
  <c r="F97" i="2"/>
  <c r="H14" i="2"/>
  <c r="G14" i="2"/>
  <c r="L22" i="1"/>
  <c r="L23" i="1"/>
  <c r="G17" i="1"/>
  <c r="F109" i="2"/>
  <c r="F103" i="2"/>
  <c r="H97" i="2"/>
  <c r="D33" i="6" l="1"/>
  <c r="J33" i="6" s="1"/>
  <c r="C58" i="6"/>
  <c r="G56" i="2"/>
  <c r="F32" i="2"/>
  <c r="G62" i="2"/>
  <c r="F68" i="2"/>
  <c r="F74" i="2"/>
  <c r="C47" i="6"/>
  <c r="G74" i="2"/>
  <c r="G121" i="2"/>
  <c r="G115" i="2"/>
  <c r="H62" i="2"/>
  <c r="H115" i="2"/>
  <c r="H121" i="2"/>
  <c r="F115" i="2"/>
  <c r="H38" i="2"/>
  <c r="H56" i="2"/>
  <c r="I44" i="2"/>
  <c r="H18" i="9" s="1"/>
  <c r="K56" i="2"/>
  <c r="J26" i="2"/>
  <c r="H13" i="9" s="1"/>
  <c r="J62" i="2"/>
  <c r="I23" i="9" s="1"/>
  <c r="K121" i="2"/>
  <c r="K62" i="2"/>
  <c r="J23" i="9" s="1"/>
  <c r="M91" i="2"/>
  <c r="K19" i="9" s="1"/>
  <c r="K115" i="2"/>
  <c r="K114" i="2" s="1"/>
  <c r="I50" i="2"/>
  <c r="L32" i="2"/>
  <c r="L91" i="2"/>
  <c r="J19" i="9" s="1"/>
  <c r="M50" i="2"/>
  <c r="J14" i="2"/>
  <c r="J44" i="2"/>
  <c r="I18" i="9" s="1"/>
  <c r="H20" i="2"/>
  <c r="G68" i="2"/>
  <c r="G44" i="2"/>
  <c r="G38" i="2"/>
  <c r="G32" i="2"/>
  <c r="J74" i="2"/>
  <c r="F121" i="2"/>
  <c r="M115" i="2"/>
  <c r="H68" i="2"/>
  <c r="J68" i="2"/>
  <c r="G20" i="2"/>
  <c r="L109" i="2"/>
  <c r="I62" i="2"/>
  <c r="H23" i="9" s="1"/>
  <c r="M20" i="2"/>
  <c r="M19" i="2" s="1"/>
  <c r="L20" i="2"/>
  <c r="L19" i="2" s="1"/>
  <c r="K80" i="2"/>
  <c r="J25" i="9" s="1"/>
  <c r="L80" i="2"/>
  <c r="K25" i="9" s="1"/>
  <c r="H74" i="2"/>
  <c r="K20" i="2"/>
  <c r="K19" i="2" s="1"/>
  <c r="H32" i="2"/>
  <c r="M109" i="2"/>
  <c r="F38" i="2"/>
  <c r="L103" i="2"/>
  <c r="H50" i="2"/>
  <c r="F50" i="2"/>
  <c r="K91" i="2"/>
  <c r="I19" i="9" s="1"/>
  <c r="M38" i="2"/>
  <c r="F56" i="2"/>
  <c r="I68" i="2"/>
  <c r="J20" i="2"/>
  <c r="J19" i="2" s="1"/>
  <c r="J115" i="2"/>
  <c r="J114" i="2" s="1"/>
  <c r="L38" i="2"/>
  <c r="K15" i="9" s="1"/>
  <c r="M103" i="2"/>
  <c r="K103" i="2"/>
  <c r="M121" i="2"/>
  <c r="J56" i="2"/>
  <c r="J91" i="2"/>
  <c r="H19" i="9" s="1"/>
  <c r="M56" i="2"/>
  <c r="I121" i="2"/>
  <c r="L50" i="2"/>
  <c r="L121" i="2"/>
  <c r="I56" i="2"/>
  <c r="K14" i="2"/>
  <c r="M74" i="2"/>
  <c r="K97" i="2"/>
  <c r="M14" i="2"/>
  <c r="J38" i="2"/>
  <c r="I15" i="9" s="1"/>
  <c r="J97" i="2"/>
  <c r="M97" i="2"/>
  <c r="L26" i="2"/>
  <c r="J13" i="9" s="1"/>
  <c r="L74" i="2"/>
  <c r="M80" i="2"/>
  <c r="L44" i="2"/>
  <c r="K18" i="9" s="1"/>
  <c r="M62" i="2"/>
  <c r="L62" i="2"/>
  <c r="K23" i="9" s="1"/>
  <c r="K26" i="2"/>
  <c r="I13" i="9" s="1"/>
  <c r="I115" i="2"/>
  <c r="I114" i="2" s="1"/>
  <c r="M86" i="2"/>
  <c r="K16" i="9" s="1"/>
  <c r="J86" i="2"/>
  <c r="I74" i="2"/>
  <c r="J103" i="2"/>
  <c r="J80" i="2"/>
  <c r="I25" i="9" s="1"/>
  <c r="L115" i="2"/>
  <c r="K50" i="2"/>
  <c r="I80" i="2"/>
  <c r="L86" i="2"/>
  <c r="J16" i="9" s="1"/>
  <c r="K44" i="2"/>
  <c r="J18" i="9" s="1"/>
  <c r="K32" i="2"/>
  <c r="I38" i="2"/>
  <c r="H15" i="9" s="1"/>
  <c r="J32" i="2"/>
  <c r="H14" i="9" s="1"/>
  <c r="J121" i="2"/>
  <c r="M44" i="2"/>
  <c r="L14" i="2"/>
  <c r="K74" i="2"/>
  <c r="K38" i="2"/>
  <c r="J15" i="9" s="1"/>
  <c r="L97" i="2"/>
  <c r="I103" i="2"/>
  <c r="I102" i="2" s="1"/>
  <c r="K68" i="2"/>
  <c r="I97" i="2"/>
  <c r="H39" i="9" s="1"/>
  <c r="G17" i="6" s="1"/>
  <c r="J109" i="2"/>
  <c r="K86" i="2"/>
  <c r="I16" i="9" s="1"/>
  <c r="I109" i="2"/>
  <c r="L68" i="2"/>
  <c r="K109" i="2"/>
  <c r="J50" i="2"/>
  <c r="I32" i="2"/>
  <c r="M68" i="2"/>
  <c r="L56" i="2"/>
  <c r="M32" i="2"/>
  <c r="M26" i="2"/>
  <c r="K13" i="9" s="1"/>
  <c r="H33" i="6" l="1"/>
  <c r="I33" i="6"/>
  <c r="H17" i="9"/>
  <c r="H44" i="9" s="1"/>
  <c r="J17" i="9"/>
  <c r="J44" i="9" s="1"/>
  <c r="K17" i="9"/>
  <c r="K44" i="9" s="1"/>
  <c r="I17" i="9"/>
  <c r="I44" i="9" s="1"/>
  <c r="H16" i="9"/>
  <c r="G34" i="6"/>
  <c r="H34" i="6" s="1"/>
  <c r="H149" i="9"/>
  <c r="H38" i="9" s="1"/>
  <c r="J13" i="2"/>
  <c r="J10" i="2" s="1"/>
  <c r="G33" i="6"/>
  <c r="K120" i="2"/>
  <c r="J120" i="2"/>
  <c r="H25" i="9"/>
  <c r="I96" i="2"/>
  <c r="K13" i="2" l="1"/>
  <c r="K10" i="2" s="1"/>
  <c r="K11" i="2" s="1"/>
  <c r="I12" i="9" s="1"/>
  <c r="I34" i="6"/>
  <c r="H35" i="6"/>
  <c r="G35" i="6"/>
  <c r="L13" i="2" l="1"/>
  <c r="L10" i="2" s="1"/>
  <c r="L11" i="2" s="1"/>
  <c r="J12" i="9" s="1"/>
  <c r="J34" i="6"/>
  <c r="J35" i="6" s="1"/>
  <c r="I35" i="6"/>
  <c r="H32" i="9"/>
  <c r="M13" i="2" l="1"/>
  <c r="D65" i="6" s="1"/>
  <c r="H46" i="9"/>
  <c r="H47" i="9" s="1"/>
  <c r="H50" i="9"/>
  <c r="H81" i="9"/>
  <c r="I32" i="9"/>
  <c r="H7" i="6" s="1"/>
  <c r="V10" i="6"/>
  <c r="Q10" i="6"/>
  <c r="E65" i="6" l="1"/>
  <c r="F65" i="6"/>
  <c r="G65" i="6"/>
  <c r="H65" i="6"/>
  <c r="I65" i="6"/>
  <c r="J65" i="6"/>
  <c r="M10" i="2"/>
  <c r="I46" i="9"/>
  <c r="I81" i="9"/>
  <c r="I33" i="9"/>
  <c r="H10" i="6" s="1"/>
  <c r="H11" i="6" s="1"/>
  <c r="J32" i="9"/>
  <c r="I7" i="6" s="1"/>
  <c r="M11" i="2" l="1"/>
  <c r="K12" i="9" s="1"/>
  <c r="K32" i="9" s="1"/>
  <c r="J46" i="9"/>
  <c r="I47" i="9"/>
  <c r="H12" i="6"/>
  <c r="I8" i="6"/>
  <c r="J81" i="9"/>
  <c r="J33" i="9"/>
  <c r="I10" i="6" s="1"/>
  <c r="I11" i="6" s="1"/>
  <c r="J31" i="2"/>
  <c r="J61" i="2" s="1"/>
  <c r="J25" i="2"/>
  <c r="M120" i="2" s="1"/>
  <c r="J85" i="2"/>
  <c r="J67" i="2"/>
  <c r="J37" i="2"/>
  <c r="J73" i="2"/>
  <c r="J43" i="2"/>
  <c r="J49" i="2"/>
  <c r="M114" i="2"/>
  <c r="J55" i="2"/>
  <c r="J7" i="6" l="1"/>
  <c r="K146" i="9"/>
  <c r="K46" i="9"/>
  <c r="K47" i="9" s="1"/>
  <c r="J47" i="9"/>
  <c r="I12" i="6"/>
  <c r="K81" i="9"/>
  <c r="K33" i="9"/>
  <c r="J10" i="6" s="1"/>
  <c r="H62" i="9"/>
  <c r="H108" i="9" s="1"/>
  <c r="H146" i="9"/>
  <c r="H118" i="9" s="1"/>
  <c r="G21" i="6"/>
  <c r="H109" i="2"/>
  <c r="J79" i="2"/>
  <c r="H103" i="2"/>
  <c r="G7" i="6"/>
  <c r="H8" i="6" s="1"/>
  <c r="K96" i="2"/>
  <c r="H37" i="9"/>
  <c r="K108" i="2"/>
  <c r="K102" i="2"/>
  <c r="J8" i="6" l="1"/>
  <c r="J11" i="6"/>
  <c r="J12" i="6" s="1"/>
  <c r="H86" i="9"/>
  <c r="H112" i="9" s="1"/>
  <c r="H150" i="9"/>
  <c r="H151" i="9" s="1"/>
  <c r="H71" i="9" s="1"/>
  <c r="I62" i="9"/>
  <c r="I108" i="9" s="1"/>
  <c r="I50" i="9"/>
  <c r="H21" i="6" s="1"/>
  <c r="H22" i="6" s="1"/>
  <c r="I146" i="9"/>
  <c r="G16" i="6"/>
  <c r="G26" i="6" s="1"/>
  <c r="H106" i="9"/>
  <c r="G27" i="6"/>
  <c r="G15" i="6"/>
  <c r="G22" i="6"/>
  <c r="I37" i="9"/>
  <c r="H15" i="6" s="1"/>
  <c r="I86" i="9" l="1"/>
  <c r="I112" i="9" s="1"/>
  <c r="I150" i="9"/>
  <c r="I118" i="9"/>
  <c r="H27" i="6" s="1"/>
  <c r="J62" i="9"/>
  <c r="J108" i="9" s="1"/>
  <c r="J50" i="9"/>
  <c r="I21" i="6" s="1"/>
  <c r="I22" i="6" s="1"/>
  <c r="J146" i="9"/>
  <c r="H120" i="9"/>
  <c r="I148" i="9"/>
  <c r="K73" i="2"/>
  <c r="K67" i="2"/>
  <c r="K31" i="2"/>
  <c r="K37" i="2"/>
  <c r="K25" i="2"/>
  <c r="K85" i="2"/>
  <c r="K43" i="2"/>
  <c r="K49" i="2"/>
  <c r="K55" i="2"/>
  <c r="J37" i="9"/>
  <c r="I15" i="6" s="1"/>
  <c r="J86" i="9" l="1"/>
  <c r="J112" i="9" s="1"/>
  <c r="J150" i="9"/>
  <c r="J118" i="9"/>
  <c r="I27" i="6" s="1"/>
  <c r="I149" i="9"/>
  <c r="I38" i="9" s="1"/>
  <c r="H16" i="6" s="1"/>
  <c r="K62" i="9"/>
  <c r="K108" i="9" s="1"/>
  <c r="K50" i="9"/>
  <c r="J21" i="6" s="1"/>
  <c r="J22" i="6" s="1"/>
  <c r="L96" i="2"/>
  <c r="L102" i="2"/>
  <c r="L108" i="2"/>
  <c r="K61" i="2"/>
  <c r="K79" i="2"/>
  <c r="L25" i="2"/>
  <c r="L31" i="2"/>
  <c r="L85" i="2"/>
  <c r="L49" i="2"/>
  <c r="L37" i="2"/>
  <c r="L67" i="2"/>
  <c r="L73" i="2"/>
  <c r="L43" i="2"/>
  <c r="L55" i="2"/>
  <c r="K37" i="9"/>
  <c r="J15" i="6" s="1"/>
  <c r="I120" i="9"/>
  <c r="H26" i="6" l="1"/>
  <c r="I77" i="9"/>
  <c r="I78" i="9"/>
  <c r="I34" i="9"/>
  <c r="I63" i="9"/>
  <c r="J39" i="9"/>
  <c r="I17" i="6" s="1"/>
  <c r="I151" i="9"/>
  <c r="I71" i="9" s="1"/>
  <c r="K86" i="9"/>
  <c r="K112" i="9" s="1"/>
  <c r="K150" i="9"/>
  <c r="K118" i="9"/>
  <c r="J27" i="6" s="1"/>
  <c r="M102" i="2"/>
  <c r="M96" i="2"/>
  <c r="M108" i="2"/>
  <c r="L79" i="2"/>
  <c r="L61" i="2"/>
  <c r="M73" i="2"/>
  <c r="M31" i="2"/>
  <c r="M43" i="2"/>
  <c r="M85" i="2"/>
  <c r="M67" i="2"/>
  <c r="M55" i="2"/>
  <c r="M25" i="2"/>
  <c r="M37" i="2"/>
  <c r="M49" i="2"/>
  <c r="J120" i="9"/>
  <c r="I83" i="9" l="1"/>
  <c r="I88" i="9" s="1"/>
  <c r="J148" i="9"/>
  <c r="J149" i="9" s="1"/>
  <c r="J38" i="9" s="1"/>
  <c r="I16" i="6" s="1"/>
  <c r="I106" i="9"/>
  <c r="K120" i="9"/>
  <c r="M61" i="2"/>
  <c r="M79" i="2"/>
  <c r="I26" i="6" l="1"/>
  <c r="J77" i="9"/>
  <c r="J78" i="9"/>
  <c r="J113" i="9" s="1"/>
  <c r="J34" i="9"/>
  <c r="J63" i="9"/>
  <c r="J109" i="9" s="1"/>
  <c r="K39" i="9"/>
  <c r="J17" i="6" s="1"/>
  <c r="J151" i="9"/>
  <c r="J71" i="9" s="1"/>
  <c r="J83" i="9" l="1"/>
  <c r="J88" i="9" s="1"/>
  <c r="J111" i="9"/>
  <c r="I28" i="6" s="1"/>
  <c r="K148" i="9"/>
  <c r="K149" i="9" s="1"/>
  <c r="K38" i="9" s="1"/>
  <c r="J16" i="6" s="1"/>
  <c r="J106" i="9"/>
  <c r="J26" i="6" l="1"/>
  <c r="K77" i="9"/>
  <c r="K63" i="9"/>
  <c r="K109" i="9" s="1"/>
  <c r="K78" i="9"/>
  <c r="K113" i="9" s="1"/>
  <c r="K34" i="9"/>
  <c r="K151" i="9"/>
  <c r="K71" i="9" s="1"/>
  <c r="K83" i="9" l="1"/>
  <c r="K88" i="9" s="1"/>
  <c r="K111" i="9"/>
  <c r="J28" i="6" s="1"/>
  <c r="K106" i="9"/>
  <c r="H36" i="9"/>
  <c r="H40" i="9" s="1"/>
  <c r="I14" i="9"/>
  <c r="I36" i="9" s="1"/>
  <c r="G14" i="6" l="1"/>
  <c r="H14" i="6"/>
  <c r="J14" i="9"/>
  <c r="J36" i="9" l="1"/>
  <c r="K14" i="9"/>
  <c r="K36" i="9" s="1"/>
  <c r="K40" i="9" l="1"/>
  <c r="K42" i="9" s="1"/>
  <c r="K48" i="9" s="1"/>
  <c r="K51" i="9" s="1"/>
  <c r="K105" i="9" s="1"/>
  <c r="K115" i="9" s="1"/>
  <c r="K137" i="9" s="1"/>
  <c r="J14" i="6"/>
  <c r="I14" i="6"/>
  <c r="I18" i="6" s="1"/>
  <c r="J40" i="9"/>
  <c r="J42" i="9" s="1"/>
  <c r="J48" i="9" s="1"/>
  <c r="J51" i="9" s="1"/>
  <c r="J105" i="9" s="1"/>
  <c r="J115" i="9" s="1"/>
  <c r="J137" i="9" s="1"/>
  <c r="J66" i="6" l="1"/>
  <c r="F66" i="6"/>
  <c r="I66" i="6"/>
  <c r="H66" i="6"/>
  <c r="G66" i="6"/>
  <c r="E66" i="6"/>
  <c r="D66" i="6"/>
  <c r="D69" i="6" s="1"/>
  <c r="J18" i="6"/>
  <c r="J23" i="6" s="1"/>
  <c r="J30" i="6" s="1"/>
  <c r="I19" i="6"/>
  <c r="I23" i="6"/>
  <c r="G69" i="6" l="1"/>
  <c r="G67" i="6"/>
  <c r="G68" i="6" s="1"/>
  <c r="E67" i="6"/>
  <c r="E68" i="6" s="1"/>
  <c r="E69" i="6"/>
  <c r="H69" i="6"/>
  <c r="H67" i="6"/>
  <c r="H68" i="6" s="1"/>
  <c r="I69" i="6"/>
  <c r="I67" i="6"/>
  <c r="I68" i="6" s="1"/>
  <c r="F69" i="6"/>
  <c r="F67" i="6"/>
  <c r="F68" i="6" s="1"/>
  <c r="J69" i="6"/>
  <c r="J67" i="6"/>
  <c r="J68" i="6" s="1"/>
  <c r="D67" i="6"/>
  <c r="D68" i="6" s="1"/>
  <c r="J19" i="6"/>
  <c r="Q7" i="6"/>
  <c r="Q9" i="6" s="1"/>
  <c r="Q11" i="6" s="1"/>
  <c r="V7" i="6"/>
  <c r="J24" i="6"/>
  <c r="I30" i="6"/>
  <c r="I24" i="6"/>
  <c r="I36" i="6" l="1"/>
  <c r="I31" i="6"/>
  <c r="J31" i="6"/>
  <c r="J36" i="6"/>
  <c r="V9" i="6" l="1"/>
  <c r="Q14" i="6"/>
  <c r="V14" i="6" l="1"/>
  <c r="V11" i="6"/>
  <c r="H33" i="9"/>
  <c r="H63" i="9" s="1"/>
  <c r="H78" i="9" l="1"/>
  <c r="H113" i="9" s="1"/>
  <c r="H77" i="9"/>
  <c r="I111" i="9" s="1"/>
  <c r="G10" i="6"/>
  <c r="G11" i="6" s="1"/>
  <c r="G12" i="6" s="1"/>
  <c r="H34" i="9"/>
  <c r="H42" i="9" s="1"/>
  <c r="H48" i="9" s="1"/>
  <c r="H51" i="9" s="1"/>
  <c r="H105" i="9" s="1"/>
  <c r="I39" i="9"/>
  <c r="I109" i="9"/>
  <c r="H109" i="9"/>
  <c r="I113" i="9" l="1"/>
  <c r="H28" i="6" s="1"/>
  <c r="H83" i="9"/>
  <c r="H88" i="9" s="1"/>
  <c r="H111" i="9"/>
  <c r="G28" i="6" s="1"/>
  <c r="I40" i="9"/>
  <c r="I42" i="9" s="1"/>
  <c r="I48" i="9" s="1"/>
  <c r="I51" i="9" s="1"/>
  <c r="I105" i="9" s="1"/>
  <c r="H17" i="6"/>
  <c r="H18" i="6" s="1"/>
  <c r="H94" i="9"/>
  <c r="G18" i="6"/>
  <c r="G23" i="6" s="1"/>
  <c r="I115" i="9" l="1"/>
  <c r="I137" i="9" s="1"/>
  <c r="H115" i="9"/>
  <c r="H137" i="9" s="1"/>
  <c r="H138" i="9" s="1"/>
  <c r="H60" i="9" s="1"/>
  <c r="H67" i="9" s="1"/>
  <c r="H74" i="9" s="1"/>
  <c r="I94" i="9"/>
  <c r="I95" i="9" s="1"/>
  <c r="I97" i="9" s="1"/>
  <c r="H95" i="9"/>
  <c r="H97" i="9" s="1"/>
  <c r="G19" i="6"/>
  <c r="H19" i="6"/>
  <c r="H23" i="6"/>
  <c r="G24" i="6"/>
  <c r="G30" i="6"/>
  <c r="I136" i="9" l="1"/>
  <c r="I138" i="9" s="1"/>
  <c r="J136" i="9" s="1"/>
  <c r="J138" i="9" s="1"/>
  <c r="J94" i="9"/>
  <c r="J95" i="9" s="1"/>
  <c r="J97" i="9" s="1"/>
  <c r="H98" i="9"/>
  <c r="H30" i="6"/>
  <c r="H24" i="6"/>
  <c r="G36" i="6"/>
  <c r="G31" i="6"/>
  <c r="I60" i="9" l="1"/>
  <c r="I67" i="9" s="1"/>
  <c r="I74" i="9" s="1"/>
  <c r="I98" i="9" s="1"/>
  <c r="K94" i="9"/>
  <c r="K95" i="9" s="1"/>
  <c r="K97" i="9" s="1"/>
  <c r="H36" i="6"/>
  <c r="J38" i="6" s="1"/>
  <c r="H31" i="6"/>
  <c r="J60" i="9"/>
  <c r="J67" i="9" s="1"/>
  <c r="J74" i="9" s="1"/>
  <c r="J98" i="9" s="1"/>
  <c r="K136" i="9"/>
  <c r="K138" i="9" s="1"/>
  <c r="K60" i="9" s="1"/>
  <c r="K67" i="9" s="1"/>
  <c r="K74" i="9" s="1"/>
  <c r="K98" i="9" l="1"/>
  <c r="Q12" i="6"/>
  <c r="V12" i="6"/>
  <c r="D70" i="6" l="1"/>
  <c r="J70" i="6"/>
  <c r="F70" i="6"/>
  <c r="I70" i="6"/>
  <c r="H70" i="6"/>
  <c r="E70" i="6"/>
  <c r="G70" i="6"/>
  <c r="V13" i="6"/>
  <c r="V17" i="6" s="1"/>
  <c r="V19" i="6" s="1"/>
  <c r="V20" i="6" s="1"/>
  <c r="Q13" i="6"/>
  <c r="Q17" i="6" s="1"/>
  <c r="C43" i="6" s="1"/>
  <c r="C54" i="6" l="1"/>
  <c r="Q19" i="6"/>
  <c r="Q20" i="6" s="1"/>
  <c r="I73" i="2"/>
  <c r="I108" i="2"/>
  <c r="L114" i="2"/>
  <c r="I37" i="2"/>
  <c r="I120" i="2"/>
  <c r="I31" i="2"/>
  <c r="I61" i="2" s="1"/>
  <c r="I11" i="2"/>
  <c r="I67" i="2"/>
  <c r="J11" i="2"/>
  <c r="H12" i="9" s="1"/>
  <c r="I55" i="2"/>
  <c r="I85" i="2"/>
  <c r="I49" i="2"/>
  <c r="I43" i="2"/>
  <c r="I25" i="2"/>
  <c r="V25" i="6" l="1"/>
  <c r="F23" i="1" s="1"/>
  <c r="L120" i="2"/>
  <c r="G109" i="2"/>
  <c r="J96" i="2"/>
  <c r="G103" i="2"/>
  <c r="J108" i="2"/>
  <c r="J102" i="2"/>
  <c r="G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tc={8860171E-A8D6-48FD-AA8F-64BD12B3D844}</author>
  </authors>
  <commentList>
    <comment ref="G115" authorId="0" shapeId="0" xr:uid="{8860171E-A8D6-48FD-AA8F-64BD12B3D844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check again with annual report from 2024 that actual values correspond + formula here only includes changes in NWC (formula is changed in H115)</t>
      </text>
    </comment>
  </commentList>
</comments>
</file>

<file path=xl/sharedStrings.xml><?xml version="1.0" encoding="utf-8"?>
<sst xmlns="http://schemas.openxmlformats.org/spreadsheetml/2006/main" count="747" uniqueCount="436">
  <si>
    <t>eb</t>
  </si>
  <si>
    <t xml:space="preserve">FSLR - CamSIF Michaelmas </t>
  </si>
  <si>
    <t>Industrials</t>
  </si>
  <si>
    <t>CamSIF</t>
  </si>
  <si>
    <t>Date</t>
  </si>
  <si>
    <t>Share Price</t>
  </si>
  <si>
    <t>Case Legend</t>
  </si>
  <si>
    <t>OpCase</t>
  </si>
  <si>
    <t>Base</t>
  </si>
  <si>
    <t xml:space="preserve">Bull </t>
  </si>
  <si>
    <t>Case Upside</t>
  </si>
  <si>
    <t>Bear</t>
  </si>
  <si>
    <t>Base Case</t>
  </si>
  <si>
    <t>Base Upside</t>
  </si>
  <si>
    <t>First Solar</t>
  </si>
  <si>
    <t>Assumptions</t>
  </si>
  <si>
    <t xml:space="preserve">Active Case: </t>
  </si>
  <si>
    <t>$ In Millions, Unless Otherwise Noted</t>
  </si>
  <si>
    <t>Historical Years</t>
  </si>
  <si>
    <t>Forecasted Years</t>
  </si>
  <si>
    <t>Comments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</si>
  <si>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</si>
  <si>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</si>
  <si>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</si>
  <si>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</si>
  <si>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</si>
  <si>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</si>
  <si>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</si>
  <si>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</si>
  <si>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Products Revenue</t>
  </si>
  <si>
    <t>% Growth</t>
  </si>
  <si>
    <t>Modules Sold Per year</t>
  </si>
  <si>
    <t>Modules sold per year is based on the GW figures in the 10-Q. E.g. 2024A was 23.6GW of solar modules.  Revenue per model sold is the Revenue/Gwatt. Per module on ASP</t>
  </si>
  <si>
    <t>Revenue Per Module Sold</t>
  </si>
  <si>
    <t>Cost of Goods Sold</t>
  </si>
  <si>
    <t>% of Products Revenue</t>
  </si>
  <si>
    <t>SG&amp;A Expense</t>
  </si>
  <si>
    <t>% of Revenue</t>
  </si>
  <si>
    <t>R&amp;D Expense</t>
  </si>
  <si>
    <t>Depreciation &amp; Amort</t>
  </si>
  <si>
    <t>Other Operating Expense</t>
  </si>
  <si>
    <t>Other Non-Operating Inc.</t>
  </si>
  <si>
    <t xml:space="preserve">Accounts Receivable </t>
  </si>
  <si>
    <t>Accounts Receivable Days</t>
  </si>
  <si>
    <t>Other Current Assets</t>
  </si>
  <si>
    <t>Long-Term Investments</t>
  </si>
  <si>
    <t>Accounts Payable</t>
  </si>
  <si>
    <t>Accounts Payable Days</t>
  </si>
  <si>
    <t xml:space="preserve">Capital Expenditures </t>
  </si>
  <si>
    <t>capex = depreciation converges</t>
  </si>
  <si>
    <t>Tax Rate</t>
  </si>
  <si>
    <t xml:space="preserve">Other Current Liabilities </t>
  </si>
  <si>
    <t>% of COGS</t>
  </si>
  <si>
    <t>Current Portion of Leases</t>
  </si>
  <si>
    <t>Interest Expense</t>
  </si>
  <si>
    <t>%Revenue</t>
  </si>
  <si>
    <t xml:space="preserve">Share Repurchases </t>
  </si>
  <si>
    <t>Comprehensive Income &amp; Other</t>
  </si>
  <si>
    <t>Metrics &amp; Drivers</t>
  </si>
  <si>
    <t>Case</t>
  </si>
  <si>
    <t>$ in millions, unless otherwise noted</t>
  </si>
  <si>
    <t>For Fiscal Year Ending</t>
  </si>
  <si>
    <t>x</t>
  </si>
  <si>
    <t>Revenue Build</t>
  </si>
  <si>
    <t>Revenue</t>
  </si>
  <si>
    <t>% of revenue</t>
  </si>
  <si>
    <t>=OFFSET(I37,$G$3,0)</t>
  </si>
  <si>
    <t>Bull</t>
  </si>
  <si>
    <t>Modules Sold per year</t>
  </si>
  <si>
    <t>Other Metrics &amp; Drivers</t>
  </si>
  <si>
    <t>D&amp;A Expense</t>
  </si>
  <si>
    <t>% of capex</t>
  </si>
  <si>
    <t>Capital Expenditures</t>
  </si>
  <si>
    <t>Effective Tax Rate</t>
  </si>
  <si>
    <t>% effective tax rate</t>
  </si>
  <si>
    <t>Stock Based Compensation</t>
  </si>
  <si>
    <t>Current Operating Asset 1</t>
  </si>
  <si>
    <t>Current Operating Asset 2</t>
  </si>
  <si>
    <t>Current Operating Asset 3</t>
  </si>
  <si>
    <t>Current Operating Asset 4</t>
  </si>
  <si>
    <t>Current Operating Liability 1</t>
  </si>
  <si>
    <t>Current Operating Liability 2</t>
  </si>
  <si>
    <t>Current Operating Liability 3</t>
  </si>
  <si>
    <t>Current Operating Liability 4</t>
  </si>
  <si>
    <t>Additional Schedules</t>
  </si>
  <si>
    <t>Net Working Capital</t>
  </si>
  <si>
    <t>Total Current Operating Assets</t>
  </si>
  <si>
    <t>Total Current Operating Liabilities</t>
  </si>
  <si>
    <t>Change in Net Working Capital</t>
  </si>
  <si>
    <t>Assumptions &amp; Drivers</t>
  </si>
  <si>
    <t>All figures in USD Millions unless stated</t>
  </si>
  <si>
    <t>Days in Period</t>
  </si>
  <si>
    <t>Income Statement</t>
  </si>
  <si>
    <t>Sales Growth</t>
  </si>
  <si>
    <t>Gross Margin</t>
  </si>
  <si>
    <t>SG&amp;A</t>
  </si>
  <si>
    <t>Research Expense (Percent of Sales)</t>
  </si>
  <si>
    <t>Capital Expenditure % of Revenue</t>
  </si>
  <si>
    <t>Converges to D&amp;A</t>
  </si>
  <si>
    <t>Interest Expense % of Revenue</t>
  </si>
  <si>
    <t>Depreciation (Percent of Sales)</t>
  </si>
  <si>
    <t>Tax Rate (Percent of EBT)</t>
  </si>
  <si>
    <t>-</t>
  </si>
  <si>
    <t>Balance Sheet</t>
  </si>
  <si>
    <t>Capital Asset Turnover Ratio</t>
  </si>
  <si>
    <t>(x)</t>
  </si>
  <si>
    <t>Receivable Days (Sales Basis)</t>
  </si>
  <si>
    <t>(Days)</t>
  </si>
  <si>
    <t>Inventory Days (COGS Basis)</t>
  </si>
  <si>
    <t>Payable Days (COGS Basis)</t>
  </si>
  <si>
    <t>Long Term Debt</t>
  </si>
  <si>
    <t xml:space="preserve">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</si>
  <si>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</si>
  <si>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</si>
  <si>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</si>
  <si>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</si>
  <si>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</si>
  <si>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Other Operating Expenses</t>
  </si>
  <si>
    <t>Total Operating Expenses</t>
  </si>
  <si>
    <t>EBIT (Operating Income)</t>
  </si>
  <si>
    <t>Interest and Invest. Income</t>
  </si>
  <si>
    <t>Flatline</t>
  </si>
  <si>
    <t>Foreign Currency Loss</t>
  </si>
  <si>
    <t xml:space="preserve">  Net Interest Exp.</t>
  </si>
  <si>
    <t>Earnings Before Taxes</t>
  </si>
  <si>
    <t>Taxes</t>
  </si>
  <si>
    <t>Net Income</t>
  </si>
  <si>
    <t>Dividends</t>
  </si>
  <si>
    <t>Assets</t>
  </si>
  <si>
    <t>Cash And Equivalents</t>
  </si>
  <si>
    <t>Short Term Investments</t>
  </si>
  <si>
    <t>Trade and Other Receivables</t>
  </si>
  <si>
    <t>Inventory</t>
  </si>
  <si>
    <t>Prepaid Exp.</t>
  </si>
  <si>
    <t>Restricted Cash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</si>
  <si>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</si>
  <si>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</si>
  <si>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</si>
  <si>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</si>
  <si>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Investments and Long-Term Assets</t>
  </si>
  <si>
    <t>Total Assets</t>
  </si>
  <si>
    <t>Liabilities</t>
  </si>
  <si>
    <t>Accrued Exp.</t>
  </si>
  <si>
    <t>Curr. Port. of LT Debt</t>
  </si>
  <si>
    <t>Def Tax Liability</t>
  </si>
  <si>
    <t>Unearned Revenue, Curr</t>
  </si>
  <si>
    <t>Curr. Port. of Leases</t>
  </si>
  <si>
    <t xml:space="preserve">  Total Current Liabilities</t>
  </si>
  <si>
    <t>Long-Term Debt</t>
  </si>
  <si>
    <t>Unearned Revenue Non-Curr</t>
  </si>
  <si>
    <t xml:space="preserve">% of Revenue </t>
  </si>
  <si>
    <t>Other Non-Current Liabilities</t>
  </si>
  <si>
    <t>Total Liabilities</t>
  </si>
  <si>
    <t>Equity</t>
  </si>
  <si>
    <t>Common Stock</t>
  </si>
  <si>
    <t>Additional Paid In Capital</t>
  </si>
  <si>
    <t>Comprehensive and Others</t>
  </si>
  <si>
    <t>Retained Earnings</t>
  </si>
  <si>
    <t xml:space="preserve">  Total Common Equity</t>
  </si>
  <si>
    <t>Total Liabilities And Equity</t>
  </si>
  <si>
    <t>Cash Flow</t>
  </si>
  <si>
    <t xml:space="preserve"> </t>
  </si>
  <si>
    <t>Cash Flows from Operating Activities</t>
  </si>
  <si>
    <t>Depreciation &amp; Amort., Total</t>
  </si>
  <si>
    <t>Change in Acc. Receivable</t>
  </si>
  <si>
    <t>Government Grants Receivable</t>
  </si>
  <si>
    <t>Change in Acc. Payable</t>
  </si>
  <si>
    <t>Deferred Revenue Total</t>
  </si>
  <si>
    <t>Change in Accrued Expenses</t>
  </si>
  <si>
    <t>Change in Other Net Operating Assets</t>
  </si>
  <si>
    <t>Incl Sales of Buisness, Sale of systems</t>
  </si>
  <si>
    <t>Cash flow from Operating Activities</t>
  </si>
  <si>
    <t xml:space="preserve">Investing Activities </t>
  </si>
  <si>
    <t>Capital Expenditure (Including PPE Acquisition)</t>
  </si>
  <si>
    <t>converge terminal year to depreciation</t>
  </si>
  <si>
    <t>Divestitures &amp; Equity Security</t>
  </si>
  <si>
    <t>Cash flows from Investing Activities</t>
  </si>
  <si>
    <t>Financing Activities</t>
  </si>
  <si>
    <t>Total Debt Issued</t>
  </si>
  <si>
    <t>Total Debt Repaid</t>
  </si>
  <si>
    <t>Net Increase/(Decrease) in Debt</t>
  </si>
  <si>
    <t>I'M JUST ASSUMING THE LONG-TERM DEBT DOESN’T INCREASE EVER AND THEY ARE JUST STEADILY REPAYING THEIR DEBT</t>
  </si>
  <si>
    <t>Issuance of Common Stock</t>
  </si>
  <si>
    <t>Repurchase of Common Stock</t>
  </si>
  <si>
    <t>Net Increase/(Decrease) in Common Stock</t>
  </si>
  <si>
    <t>Total Dividends Paid</t>
  </si>
  <si>
    <t>Other Financing Activities</t>
  </si>
  <si>
    <t>Cash from Financing</t>
  </si>
  <si>
    <t>Initial Cash Balance</t>
  </si>
  <si>
    <t>Net Change in Cash</t>
  </si>
  <si>
    <t>Ending Cash Balance</t>
  </si>
  <si>
    <t>Depreciation Schedule</t>
  </si>
  <si>
    <t>Capex</t>
  </si>
  <si>
    <t>Beginning: Existing Assets</t>
  </si>
  <si>
    <t>Depreciation</t>
  </si>
  <si>
    <t>Rough assumption</t>
  </si>
  <si>
    <t>Ending: Existing Assets</t>
  </si>
  <si>
    <t>Discounted Cash Flow Analysis</t>
  </si>
  <si>
    <t>Exit Multiple Method</t>
  </si>
  <si>
    <t>Perpetuity Growth Method</t>
  </si>
  <si>
    <t>Total Revenues</t>
  </si>
  <si>
    <t>change (after you adjust your new schedule to include more years)</t>
  </si>
  <si>
    <t>% growth</t>
  </si>
  <si>
    <t>Terminal Multiple</t>
  </si>
  <si>
    <t>Perpetuity Growth Rate</t>
  </si>
  <si>
    <t>Terminal Value</t>
  </si>
  <si>
    <t>Terminal Value = (2028 Cash Flow *(1 + PGR))/(WACC - PGR)</t>
  </si>
  <si>
    <t>Discount Factor</t>
  </si>
  <si>
    <t>Note that you can use this formula to solve for the "implied multiple"</t>
  </si>
  <si>
    <t>Gross Profit</t>
  </si>
  <si>
    <t>Present Value of Terminal Value</t>
  </si>
  <si>
    <t>Because Terminal Value is also Exit Multiple * Adj. EBITDA</t>
  </si>
  <si>
    <t>% margin</t>
  </si>
  <si>
    <t>Present Value of Cash Flow</t>
  </si>
  <si>
    <t>So Implied Multiple = Terminal Value / Adj. EBITDA</t>
  </si>
  <si>
    <t>Total Enterprise Value</t>
  </si>
  <si>
    <t>Implied PGR is a bit more complicated, have to algebraically solve for PGR, kind of a pain</t>
  </si>
  <si>
    <t>Implied PGR</t>
  </si>
  <si>
    <t>Implied Terminal Multiple</t>
  </si>
  <si>
    <t>Less: Debt</t>
  </si>
  <si>
    <t>Implied PGR = ((Terminal Value * WACC) - (2028 Cash Flow))/(Terminal Value + 2028 Cash Flow)</t>
  </si>
  <si>
    <t>Plus: Cash</t>
  </si>
  <si>
    <t>Note: Delete this text above when done</t>
  </si>
  <si>
    <t>Total Equity Value</t>
  </si>
  <si>
    <t>EBIT</t>
  </si>
  <si>
    <t>Diluted Shares Outstanding (2025)</t>
  </si>
  <si>
    <t>Diluted Shares Outstanding</t>
  </si>
  <si>
    <t>PGR actual is 3.5% given GDP is 3.8%</t>
  </si>
  <si>
    <t>Implied Share Price</t>
  </si>
  <si>
    <t>Upside / (Downside)</t>
  </si>
  <si>
    <t>Blended Implied Share Price</t>
  </si>
  <si>
    <t>Net Operating Profit After Tax</t>
  </si>
  <si>
    <t>Plus: D&amp;A Expense</t>
  </si>
  <si>
    <t>Less: Capital Expenditures</t>
  </si>
  <si>
    <t>Less: Change in Net Working Capital</t>
  </si>
  <si>
    <t>Less: Stub Period</t>
  </si>
  <si>
    <t>Unlevered Free Cash Flow</t>
  </si>
  <si>
    <t>WACC</t>
  </si>
  <si>
    <t>Discount Period</t>
  </si>
  <si>
    <t>Present Value of Unlevered Free Cash Flow</t>
  </si>
  <si>
    <t>Sum of Present Value Cash Flows</t>
  </si>
  <si>
    <t>DCF Sensitivity Analysis: Upside / (Downside) - Exit Multiple Method</t>
  </si>
  <si>
    <t>Exit Multiple</t>
  </si>
  <si>
    <t>DCF Sensitivity Analysis: Upside / (Downside) - Perpetuity Growth Method</t>
  </si>
  <si>
    <t>Perpetuity Growth</t>
  </si>
  <si>
    <t xml:space="preserve">ASP Sensitivity Analysis: 2028E Exit (EBITDA) Multiple Method </t>
  </si>
  <si>
    <t>CASE # (2028)</t>
  </si>
  <si>
    <t>REVENUE</t>
  </si>
  <si>
    <t>UFCF</t>
  </si>
  <si>
    <t>EBITDA</t>
  </si>
  <si>
    <t>SHARE PRICE</t>
  </si>
  <si>
    <t>Weighted Average Cost of Capital</t>
  </si>
  <si>
    <t>Inputs</t>
  </si>
  <si>
    <t>Cost of Debt Calculation</t>
  </si>
  <si>
    <t>Risk-Free Rate</t>
  </si>
  <si>
    <t>Equity Risk Premium</t>
  </si>
  <si>
    <t>Beta</t>
  </si>
  <si>
    <t>Credit Spread on [XXX] Rating</t>
  </si>
  <si>
    <t>Pre-Tax Cost of Debt</t>
  </si>
  <si>
    <t>Current Share Price</t>
  </si>
  <si>
    <t>Effective Tax Rate (US Corp Tax 2025)</t>
  </si>
  <si>
    <t>After-Tax Cost of Debt</t>
  </si>
  <si>
    <t>Market Value of Debt</t>
  </si>
  <si>
    <t>Cost of Equity Calculation</t>
  </si>
  <si>
    <t>16/11/2025</t>
  </si>
  <si>
    <t>Cost of Equity</t>
  </si>
  <si>
    <t>Weighted Average Cost of Capital Calculation</t>
  </si>
  <si>
    <t>Total Value</t>
  </si>
  <si>
    <t>%</t>
  </si>
  <si>
    <t>Cost</t>
  </si>
  <si>
    <t>Market Value of Equity</t>
  </si>
  <si>
    <t>Total</t>
  </si>
  <si>
    <t>Comparable Companies Analysis</t>
  </si>
  <si>
    <t>Valuation Metrics</t>
  </si>
  <si>
    <t>Company Name</t>
  </si>
  <si>
    <t>Day Close Price Latest</t>
  </si>
  <si>
    <t>Shares Outstanding Latest</t>
  </si>
  <si>
    <t>Market Capitalization Latest</t>
  </si>
  <si>
    <t xml:space="preserve">LTM Net Debt </t>
  </si>
  <si>
    <t>Total Enterprise Value Latest</t>
  </si>
  <si>
    <t xml:space="preserve">LTM Total Revenue </t>
  </si>
  <si>
    <t xml:space="preserve">LTM EBITDA </t>
  </si>
  <si>
    <t xml:space="preserve">LTM EBIT </t>
  </si>
  <si>
    <t>EV / Revenue</t>
  </si>
  <si>
    <t>EV / EBIT</t>
  </si>
  <si>
    <t>NTM Forward PE (CapIQ)</t>
  </si>
  <si>
    <t>Canadian Solar Inc. (NasdaqGS:CSIQ)</t>
  </si>
  <si>
    <t>NM</t>
  </si>
  <si>
    <t>Sunrun Inc. (NasdaqGS:RUN)</t>
  </si>
  <si>
    <t>JinkoSolar Holding Co., Ltd. (NYSE:JKS)</t>
  </si>
  <si>
    <t>22.02x</t>
  </si>
  <si>
    <t>JA Solar Technology Co., Ltd. (SZSE:002459)</t>
  </si>
  <si>
    <t>86.36x</t>
  </si>
  <si>
    <t>LONGi Green Energy Technology Co., Ltd. (SHSE:601012)</t>
  </si>
  <si>
    <t>Trina Solar Co., Ltd. (SHSE:688599)</t>
  </si>
  <si>
    <t>Enphase Energy, Inc. (NasdaqGM:ENPH)</t>
  </si>
  <si>
    <t>13.40x</t>
  </si>
  <si>
    <t>Skyworks Solutions, Inc. (NasdaqGS:SWKS)</t>
  </si>
  <si>
    <t>14.35x</t>
  </si>
  <si>
    <t>Sanan Optoelectronics Co.,Ltd (SHSE:600703)</t>
  </si>
  <si>
    <t>136.21x</t>
  </si>
  <si>
    <t>ON Semiconductor Corporation (NasdaqGS:ON)</t>
  </si>
  <si>
    <t>17.02x</t>
  </si>
  <si>
    <t>ASP advanced solar power</t>
  </si>
  <si>
    <t xml:space="preserve">First Solar, Inc. </t>
  </si>
  <si>
    <t xml:space="preserve">Minimum </t>
  </si>
  <si>
    <t>25th Percentile</t>
  </si>
  <si>
    <t xml:space="preserve">Mean </t>
  </si>
  <si>
    <t>Median</t>
  </si>
  <si>
    <t>75th Percentile</t>
  </si>
  <si>
    <t>Maximum</t>
  </si>
  <si>
    <t>Open</t>
  </si>
  <si>
    <t>Low</t>
  </si>
  <si>
    <t>High</t>
  </si>
  <si>
    <t>Close</t>
  </si>
  <si>
    <t>52 wk avg (2025)</t>
  </si>
  <si>
    <t>Blended share price</t>
  </si>
  <si>
    <t>Perpetuity growth DCF</t>
  </si>
  <si>
    <t>Exit multiple DCF</t>
  </si>
  <si>
    <t>Comps</t>
  </si>
  <si>
    <t>MV of Debt</t>
  </si>
  <si>
    <t>MV of Equity</t>
  </si>
  <si>
    <t>Median excl. public market</t>
  </si>
  <si>
    <t>Median DCF</t>
  </si>
  <si>
    <t>62.06M</t>
  </si>
  <si>
    <t>81.86M</t>
  </si>
  <si>
    <t>65.76M</t>
  </si>
  <si>
    <t>94.03M</t>
  </si>
  <si>
    <t>50.99M</t>
  </si>
  <si>
    <t>54.73M</t>
  </si>
  <si>
    <t>35.46M</t>
  </si>
  <si>
    <t>53.66M</t>
  </si>
  <si>
    <t>60.06M</t>
  </si>
  <si>
    <t>40.98M</t>
  </si>
  <si>
    <t>47.05M</t>
  </si>
  <si>
    <t>49.84M</t>
  </si>
  <si>
    <t>38.33M</t>
  </si>
  <si>
    <t>30.96M</t>
  </si>
  <si>
    <t>33.64M</t>
  </si>
  <si>
    <t>35.70M</t>
  </si>
  <si>
    <t>92.38M</t>
  </si>
  <si>
    <t>39.28M</t>
  </si>
  <si>
    <t>25.31M</t>
  </si>
  <si>
    <t>21.21M</t>
  </si>
  <si>
    <t>40.99M</t>
  </si>
  <si>
    <t>33.04M</t>
  </si>
  <si>
    <t>37.47M</t>
  </si>
  <si>
    <t>31.16M</t>
  </si>
  <si>
    <t>34.56M</t>
  </si>
  <si>
    <t>28.00M</t>
  </si>
  <si>
    <t>27.24M</t>
  </si>
  <si>
    <t>30.74M</t>
  </si>
  <si>
    <t>21.74M</t>
  </si>
  <si>
    <t>18.03M</t>
  </si>
  <si>
    <t>28.63M</t>
  </si>
  <si>
    <t>26.95M</t>
  </si>
  <si>
    <t>40.54M</t>
  </si>
  <si>
    <t>16.37M</t>
  </si>
  <si>
    <t>22.59M</t>
  </si>
  <si>
    <t>34.49M</t>
  </si>
  <si>
    <t>44.60M</t>
  </si>
  <si>
    <t>44.90M</t>
  </si>
  <si>
    <t>28.38M</t>
  </si>
  <si>
    <t>26.77M</t>
  </si>
  <si>
    <t>24.04M</t>
  </si>
  <si>
    <t>35.52M</t>
  </si>
  <si>
    <t>35.73M</t>
  </si>
  <si>
    <t>50.26M</t>
  </si>
  <si>
    <t>82.58M</t>
  </si>
  <si>
    <t>67.49M</t>
  </si>
  <si>
    <t>50.40M</t>
  </si>
  <si>
    <t>61.67M</t>
  </si>
  <si>
    <t>45.62M</t>
  </si>
  <si>
    <t>54.32M</t>
  </si>
  <si>
    <t>55.96M</t>
  </si>
  <si>
    <t>39.17M</t>
  </si>
  <si>
    <t>47.78M</t>
  </si>
  <si>
    <t>38.94M</t>
  </si>
  <si>
    <t>30.20M</t>
  </si>
  <si>
    <t>43.10M</t>
  </si>
  <si>
    <t>38.25M</t>
  </si>
  <si>
    <t>36.32M</t>
  </si>
  <si>
    <t>28.40M</t>
  </si>
  <si>
    <t>29.40M</t>
  </si>
  <si>
    <t>53.74M</t>
  </si>
  <si>
    <t>27.42M</t>
  </si>
  <si>
    <t>32.12M</t>
  </si>
  <si>
    <t>47.64M</t>
  </si>
  <si>
    <t>67.92M</t>
  </si>
  <si>
    <t>67.11M</t>
  </si>
  <si>
    <t>69.93M</t>
  </si>
  <si>
    <t>59.09M</t>
  </si>
  <si>
    <t>67.01M</t>
  </si>
  <si>
    <t>46.60M</t>
  </si>
  <si>
    <t>31.66M</t>
  </si>
  <si>
    <t>75.01M</t>
  </si>
  <si>
    <t>45.66M</t>
  </si>
  <si>
    <t>71.85M</t>
  </si>
  <si>
    <t>34.81M</t>
  </si>
  <si>
    <t>43.38M</t>
  </si>
  <si>
    <t>43.00M</t>
  </si>
  <si>
    <t>36.50M</t>
  </si>
  <si>
    <t>53.62M</t>
  </si>
  <si>
    <t>49.50M</t>
  </si>
  <si>
    <t>52.89M</t>
  </si>
  <si>
    <t>37.70M</t>
  </si>
  <si>
    <t>51.61M</t>
  </si>
  <si>
    <t>37.81M</t>
  </si>
  <si>
    <t>43.75M</t>
  </si>
  <si>
    <t>78.13M</t>
  </si>
  <si>
    <t>59.88M</t>
  </si>
  <si>
    <t>61.61M</t>
  </si>
  <si>
    <t>36.18M</t>
  </si>
  <si>
    <t>39.98M</t>
  </si>
  <si>
    <t>65.14M</t>
  </si>
  <si>
    <t>71.09M</t>
  </si>
  <si>
    <t>40.80M</t>
  </si>
  <si>
    <t>46.46M</t>
  </si>
  <si>
    <t>55.30M</t>
  </si>
  <si>
    <t>65.85M</t>
  </si>
  <si>
    <t>92.24M</t>
  </si>
  <si>
    <t>125.26M</t>
  </si>
  <si>
    <t>100.17M</t>
  </si>
  <si>
    <t>71.99M</t>
  </si>
  <si>
    <t>72.34M</t>
  </si>
  <si>
    <t>46.31M</t>
  </si>
  <si>
    <t>54.60M</t>
  </si>
  <si>
    <t>Price</t>
  </si>
  <si>
    <t>31.57M</t>
  </si>
  <si>
    <t>Change %</t>
  </si>
  <si>
    <t>Vol.</t>
  </si>
  <si>
    <t>Revenue Growth</t>
  </si>
  <si>
    <t>Bear Case</t>
  </si>
  <si>
    <t>Bull Case</t>
  </si>
  <si>
    <t>Tax spent</t>
  </si>
  <si>
    <t>Change in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</si>
</sst>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&quot;$&quot;#,##0.0"/>
    <numFmt numFmtId="169" formatCode="&quot;$&quot;#,##0.0_);\(&quot;$&quot;#,##0.0\)"/>
    <numFmt numFmtId="170" formatCode="_(#,##0.0%_);\(#,##0.0%\);_(&quot;–&quot;_)_%;_(@_)_%"/>
    <numFmt numFmtId="171" formatCode="_([$$-409]* #,##0.00_);_([$$-409]* \(#,##0.00\);_([$$-409]* &quot;-&quot;??_);_(@_)"/>
    <numFmt numFmtId="172" formatCode="0&quot;A&quot;"/>
    <numFmt numFmtId="173" formatCode="0&quot;E&quot;"/>
    <numFmt numFmtId="174" formatCode="#,##0.0_);\(#,##0.0\);\-\ \-_)"/>
    <numFmt numFmtId="175" formatCode="0.0%_);\(0.0%\);\-\ \-\%_);"/>
    <numFmt numFmtId="176" formatCode="0.0&quot;x&quot;"/>
    <numFmt numFmtId="177" formatCode="#,##0.0_);\(#,##0.0\);\-"/>
    <numFmt numFmtId="178" formatCode="#,##0.0_);\(#,##0.0\);\-_)"/>
    <numFmt numFmtId="179" formatCode="0.0\x"/>
    <numFmt numFmtId="180" formatCode="&quot;$&quot;#,##0"/>
    <numFmt numFmtId="181" formatCode="0.0\x_);\(0.0\x\);\-\ \-\x_);"/>
    <numFmt numFmtId="182" formatCode="&quot;$&quot;0.00_);\(&quot;$&quot;0.00\);&quot;$&quot;\-\ \-_);"/>
    <numFmt numFmtId="183" formatCode="0.0%"/>
    <numFmt numFmtId="184" formatCode="#,##0.000"/>
    <numFmt numFmtId="185" formatCode="_(* #,##0.0#_);_(* \(#,##0.0#\)_)\ ;_(* 0_)"/>
    <numFmt numFmtId="186" formatCode="#,##0_);\(#,##0\);\-"/>
    <numFmt numFmtId="187" formatCode="_-* #,##0_-;\(#,##0\)_-;_-* &quot;-&quot;_-;_-@_-"/>
    <numFmt numFmtId="188" formatCode="&quot;Year &quot;0;&quot;Year &quot;\-0"/>
    <numFmt numFmtId="189" formatCode="_(#,##0_);\(#,##0\);_(&quot;–&quot;_);_(@_)"/>
    <numFmt numFmtId="190" formatCode="_(* #,##0.00_);_(* \(#,##0.00\)_)\ ;_(* 0.0_)"/>
    <numFmt numFmtId="191" formatCode="_(#,##0.0%_);\(#,##0.0%\);_(&quot;–&quot;_);_(@_)"/>
    <numFmt numFmtId="192" formatCode="_(#,##0.00_);\(#,##0.00\);_(&quot;–&quot;_);_(@_)"/>
    <numFmt numFmtId="193" formatCode="0\x_);\(0\x\);\-\ \-\x_)"/>
    <numFmt numFmtId="194" formatCode="#,##0.00_);\(#,##0.00\);\-\ \-_)"/>
    <numFmt numFmtId="195" formatCode="_(\ #,##0.0#_);_(\(\ #,##0.0#\)_);_(\ &quot; - &quot;_)"/>
    <numFmt numFmtId="196" formatCode="_(\ #,##0.0_);_(\ \(#,##0.0\)_);_(\ &quot; - &quot;_)"/>
    <numFmt numFmtId="197" formatCode="#,##0.00\x"/>
  </numFmts>
  <fonts count="8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Open Sans"/>
      <family val="2"/>
    </font>
    <font>
      <sz val="11"/>
      <color theme="1"/>
      <name val="Open Sans"/>
      <family val="2"/>
    </font>
    <font>
      <b/>
      <sz val="16"/>
      <color theme="1"/>
      <name val="Open Sans"/>
      <family val="2"/>
    </font>
    <font>
      <sz val="11"/>
      <name val="Open Sans"/>
      <family val="2"/>
    </font>
    <font>
      <b/>
      <sz val="12"/>
      <color theme="1"/>
      <name val="Open Sans"/>
      <family val="2"/>
    </font>
    <font>
      <sz val="12"/>
      <color theme="0"/>
      <name val="Open Sans"/>
      <family val="2"/>
    </font>
    <font>
      <i/>
      <sz val="12"/>
      <color theme="1"/>
      <name val="Open Sans"/>
      <family val="2"/>
    </font>
    <font>
      <b/>
      <sz val="14"/>
      <color theme="0"/>
      <name val="Open Sans"/>
      <family val="2"/>
    </font>
    <font>
      <sz val="10"/>
      <name val="Arial"/>
      <family val="2"/>
    </font>
    <font>
      <sz val="10"/>
      <color theme="0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sz val="1"/>
      <color indexed="9"/>
      <name val="Symbol"/>
      <family val="1"/>
      <charset val="2"/>
    </font>
    <font>
      <sz val="10"/>
      <color indexed="9"/>
      <name val="Open Sans"/>
      <family val="2"/>
    </font>
    <font>
      <i/>
      <sz val="10"/>
      <color indexed="8"/>
      <name val="Open Sans"/>
      <family val="2"/>
    </font>
    <font>
      <b/>
      <sz val="10"/>
      <color indexed="8"/>
      <name val="Open Sans"/>
      <family val="2"/>
    </font>
    <font>
      <sz val="10"/>
      <name val="Bookman"/>
      <family val="1"/>
    </font>
    <font>
      <i/>
      <sz val="9"/>
      <color rgb="FF000000"/>
      <name val="Open Sans"/>
      <family val="2"/>
    </font>
    <font>
      <b/>
      <sz val="10"/>
      <color rgb="FF3271D2"/>
      <name val="Open Sans"/>
      <family val="2"/>
    </font>
    <font>
      <b/>
      <sz val="10"/>
      <color rgb="FF000000"/>
      <name val="Open Sans"/>
      <family val="2"/>
    </font>
    <font>
      <sz val="10"/>
      <color theme="4"/>
      <name val="Open Sans"/>
      <family val="2"/>
    </font>
    <font>
      <sz val="10"/>
      <color rgb="FF3271D2"/>
      <name val="Open Sans"/>
      <family val="2"/>
    </font>
    <font>
      <sz val="10"/>
      <color rgb="FF000000"/>
      <name val="Open Sans"/>
      <family val="2"/>
    </font>
    <font>
      <sz val="10"/>
      <color theme="1"/>
      <name val="Open Sans"/>
      <family val="2"/>
    </font>
    <font>
      <sz val="11"/>
      <color theme="4"/>
      <name val="Calibri"/>
      <family val="2"/>
      <scheme val="minor"/>
    </font>
    <font>
      <i/>
      <sz val="8"/>
      <name val="Open Sans"/>
      <family val="2"/>
    </font>
    <font>
      <b/>
      <sz val="14"/>
      <color indexed="9"/>
      <name val="Open Sans"/>
      <family val="2"/>
    </font>
    <font>
      <b/>
      <sz val="10"/>
      <color indexed="9"/>
      <name val="Open Sans"/>
      <family val="2"/>
    </font>
    <font>
      <b/>
      <sz val="10"/>
      <color theme="1"/>
      <name val="Open Sans"/>
      <family val="2"/>
    </font>
    <font>
      <b/>
      <sz val="10"/>
      <color theme="4"/>
      <name val="Open Sans"/>
      <family val="2"/>
    </font>
    <font>
      <sz val="10"/>
      <color indexed="8"/>
      <name val="Open Sans"/>
      <family val="2"/>
    </font>
    <font>
      <b/>
      <u val="double"/>
      <sz val="10"/>
      <color indexed="8"/>
      <name val="Open Sans"/>
      <family val="2"/>
    </font>
    <font>
      <b/>
      <u val="double"/>
      <sz val="10"/>
      <color theme="4"/>
      <name val="Open Sans"/>
      <family val="2"/>
    </font>
    <font>
      <b/>
      <i/>
      <sz val="10"/>
      <color indexed="8"/>
      <name val="Open Sans"/>
      <family val="2"/>
    </font>
    <font>
      <b/>
      <u val="doubleAccounting"/>
      <sz val="10"/>
      <color theme="4"/>
      <name val="Open Sans"/>
      <family val="2"/>
    </font>
    <font>
      <b/>
      <u/>
      <sz val="10"/>
      <color theme="4"/>
      <name val="Open Sans"/>
      <family val="2"/>
    </font>
    <font>
      <b/>
      <i/>
      <sz val="10"/>
      <name val="Open Sans"/>
      <family val="2"/>
    </font>
    <font>
      <sz val="10"/>
      <color rgb="FFFF0000"/>
      <name val="Open Sans"/>
      <family val="2"/>
    </font>
    <font>
      <sz val="8"/>
      <color theme="1"/>
      <name val="Open Sans"/>
      <family val="2"/>
    </font>
    <font>
      <b/>
      <sz val="14"/>
      <color theme="1"/>
      <name val="Open Sans"/>
      <family val="2"/>
    </font>
    <font>
      <i/>
      <sz val="10"/>
      <color theme="1"/>
      <name val="Open Sans"/>
      <family val="2"/>
    </font>
    <font>
      <b/>
      <sz val="11"/>
      <color theme="0"/>
      <name val="Open Sans"/>
      <family val="2"/>
    </font>
    <font>
      <i/>
      <sz val="11"/>
      <color theme="1"/>
      <name val="Open Sans"/>
      <family val="2"/>
    </font>
    <font>
      <b/>
      <sz val="11"/>
      <color rgb="FF00B050"/>
      <name val="Open Sans"/>
      <family val="2"/>
    </font>
    <font>
      <i/>
      <sz val="11"/>
      <color rgb="FF0000FF"/>
      <name val="Open Sans"/>
      <family val="2"/>
    </font>
    <font>
      <sz val="10"/>
      <color rgb="FF0432FF"/>
      <name val="Open Sans"/>
      <family val="2"/>
    </font>
    <font>
      <i/>
      <sz val="11"/>
      <color rgb="FF0432FF"/>
      <name val="Open Sans"/>
      <family val="2"/>
    </font>
    <font>
      <b/>
      <sz val="12"/>
      <color theme="0"/>
      <name val="Open Sans"/>
      <family val="2"/>
    </font>
    <font>
      <sz val="12"/>
      <color rgb="FF000000"/>
      <name val="Open Sans"/>
      <family val="2"/>
    </font>
    <font>
      <sz val="11"/>
      <color theme="1"/>
      <name val="Open Sans'"/>
    </font>
    <font>
      <sz val="12"/>
      <color theme="1"/>
      <name val="Open Sans'"/>
    </font>
    <font>
      <b/>
      <sz val="14"/>
      <color theme="1"/>
      <name val="Open Sans'"/>
    </font>
    <font>
      <i/>
      <sz val="12"/>
      <color theme="1"/>
      <name val="Open Sans'"/>
    </font>
    <font>
      <b/>
      <sz val="12"/>
      <color theme="0"/>
      <name val="Open Sans'"/>
    </font>
    <font>
      <sz val="11"/>
      <name val="Open Sans'"/>
    </font>
    <font>
      <b/>
      <sz val="12"/>
      <color theme="1"/>
      <name val="Open Sans'"/>
    </font>
    <font>
      <sz val="12"/>
      <color rgb="FF000000"/>
      <name val="Open Sans'"/>
    </font>
    <font>
      <sz val="12"/>
      <color rgb="FF008000"/>
      <name val="Open Sans'"/>
    </font>
    <font>
      <strike/>
      <sz val="12"/>
      <color theme="1"/>
      <name val="Open Sans"/>
      <family val="2"/>
    </font>
    <font>
      <b/>
      <sz val="11"/>
      <name val="Open Sans"/>
      <family val="2"/>
    </font>
    <font>
      <sz val="11"/>
      <color theme="1"/>
      <name val="Calibri"/>
      <family val="2"/>
      <scheme val="minor"/>
    </font>
    <font>
      <sz val="12"/>
      <color theme="0"/>
      <name val="Open Sans'"/>
    </font>
    <font>
      <sz val="12"/>
      <color rgb="FF001D38"/>
      <name val="Open Sans'"/>
    </font>
    <font>
      <sz val="11"/>
      <color theme="0"/>
      <name val="Open Sans"/>
      <family val="2"/>
    </font>
    <font>
      <b/>
      <sz val="10"/>
      <color theme="0"/>
      <name val="Open Sans"/>
      <family val="2"/>
    </font>
    <font>
      <b/>
      <sz val="10"/>
      <color rgb="FFFFFFFF"/>
      <name val="Open Sans"/>
      <family val="2"/>
    </font>
    <font>
      <b/>
      <sz val="12"/>
      <color theme="2"/>
      <name val="Open Sans'"/>
    </font>
    <font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sz val="11"/>
      <color rgb="FFFF0000"/>
      <name val="Calibri"/>
      <family val="2"/>
      <scheme val="minor"/>
    </font>
    <font>
      <sz val="10"/>
      <color rgb="FF0000FF"/>
      <name val="Open Sans"/>
      <family val="2"/>
    </font>
    <font>
      <b/>
      <sz val="12"/>
      <color theme="2"/>
      <name val="Open Sans"/>
      <family val="2"/>
    </font>
    <font>
      <b/>
      <sz val="11"/>
      <color theme="2"/>
      <name val="Open Sans"/>
      <family val="2"/>
    </font>
    <font>
      <b/>
      <sz val="12"/>
      <color rgb="FFFF0000"/>
      <name val="Open Sans"/>
      <family val="2"/>
    </font>
    <font>
      <b/>
      <sz val="12"/>
      <name val="Open Sans"/>
      <family val="2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CBCBCB"/>
        <bgColor rgb="FFCBCBCB"/>
      </patternFill>
    </fill>
    <fill>
      <patternFill patternType="solid">
        <fgColor rgb="FFA3C1AD"/>
        <bgColor rgb="FF00B0F0"/>
      </patternFill>
    </fill>
    <fill>
      <patternFill patternType="solid">
        <fgColor rgb="FFA3C1AD"/>
        <bgColor rgb="FFABE9FF"/>
      </patternFill>
    </fill>
    <fill>
      <patternFill patternType="solid">
        <fgColor rgb="FFA3C1AD"/>
        <bgColor indexed="64"/>
      </patternFill>
    </fill>
    <fill>
      <patternFill patternType="solid">
        <fgColor rgb="FFA3C1AD"/>
        <bgColor theme="0"/>
      </patternFill>
    </fill>
    <fill>
      <patternFill patternType="solid">
        <fgColor rgb="FFA3C1AD"/>
        <bgColor rgb="FF656565"/>
      </patternFill>
    </fill>
    <fill>
      <patternFill patternType="solid">
        <fgColor rgb="FFA3C1AD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C1AD"/>
        <bgColor rgb="FF000000"/>
      </patternFill>
    </fill>
    <fill>
      <patternFill patternType="solid">
        <fgColor rgb="FFF7F2EC"/>
        <bgColor indexed="64"/>
      </patternFill>
    </fill>
    <fill>
      <patternFill patternType="solid">
        <fgColor rgb="FFF7F2EC"/>
        <bgColor theme="0"/>
      </patternFill>
    </fill>
    <fill>
      <patternFill patternType="solid">
        <fgColor rgb="FFF7F2EC"/>
        <bgColor rgb="FFCBCBCB"/>
      </patternFill>
    </fill>
    <fill>
      <patternFill patternType="solid">
        <fgColor rgb="FF001D38"/>
        <bgColor indexed="64"/>
      </patternFill>
    </fill>
    <fill>
      <patternFill patternType="solid">
        <fgColor rgb="FF001D38"/>
        <bgColor rgb="FF00B0F0"/>
      </patternFill>
    </fill>
    <fill>
      <patternFill patternType="solid">
        <fgColor rgb="FF001D38"/>
        <bgColor rgb="FFABE9FF"/>
      </patternFill>
    </fill>
    <fill>
      <patternFill patternType="solid">
        <fgColor rgb="FFFFFFFF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theme="0"/>
      </patternFill>
    </fill>
    <fill>
      <patternFill patternType="solid">
        <fgColor rgb="FF00B0F0"/>
        <bgColor rgb="FFABE9FF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3" fillId="0" borderId="1"/>
    <xf numFmtId="0" fontId="18" fillId="0" borderId="1"/>
    <xf numFmtId="0" fontId="22" fillId="0" borderId="1" applyAlignment="0"/>
    <xf numFmtId="43" fontId="26" fillId="0" borderId="1" applyFont="0" applyFill="0" applyBorder="0" applyAlignment="0" applyProtection="0"/>
    <xf numFmtId="9" fontId="3" fillId="0" borderId="1" applyFont="0" applyFill="0" applyBorder="0" applyAlignment="0" applyProtection="0"/>
    <xf numFmtId="0" fontId="18" fillId="0" borderId="1"/>
    <xf numFmtId="44" fontId="70" fillId="0" borderId="0" applyFont="0" applyFill="0" applyBorder="0" applyAlignment="0" applyProtection="0"/>
    <xf numFmtId="9" fontId="77" fillId="0" borderId="0" applyFont="0" applyFill="0" applyBorder="0" applyAlignment="0" applyProtection="0"/>
    <xf numFmtId="0" fontId="1" fillId="0" borderId="1"/>
  </cellStyleXfs>
  <cellXfs count="604">
    <xf numFmtId="0" fontId="0" fillId="0" borderId="0" xfId="0"/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vertical="center"/>
    </xf>
    <xf numFmtId="0" fontId="6" fillId="0" borderId="0" xfId="0" applyFont="1" applyAlignment="1">
      <alignment vertical="center"/>
    </xf>
    <xf numFmtId="171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0" xfId="0" applyFont="1" applyAlignment="1">
      <alignment vertical="center"/>
    </xf>
    <xf numFmtId="174" fontId="5" fillId="0" borderId="0" xfId="0" applyNumberFormat="1" applyFont="1" applyAlignment="1">
      <alignment vertical="center"/>
    </xf>
    <xf numFmtId="174" fontId="5" fillId="0" borderId="15" xfId="0" applyNumberFormat="1" applyFont="1" applyBorder="1" applyAlignment="1">
      <alignment vertical="center"/>
    </xf>
    <xf numFmtId="175" fontId="8" fillId="0" borderId="0" xfId="0" applyNumberFormat="1" applyFont="1" applyAlignment="1">
      <alignment vertical="center"/>
    </xf>
    <xf numFmtId="175" fontId="8" fillId="0" borderId="15" xfId="0" applyNumberFormat="1" applyFont="1" applyBorder="1" applyAlignment="1">
      <alignment vertical="center"/>
    </xf>
    <xf numFmtId="175" fontId="4" fillId="0" borderId="0" xfId="0" applyNumberFormat="1" applyFont="1" applyAlignment="1">
      <alignment vertical="center"/>
    </xf>
    <xf numFmtId="175" fontId="4" fillId="0" borderId="15" xfId="0" applyNumberFormat="1" applyFont="1" applyBorder="1" applyAlignment="1">
      <alignment vertical="center"/>
    </xf>
    <xf numFmtId="175" fontId="8" fillId="5" borderId="2" xfId="0" applyNumberFormat="1" applyFont="1" applyFill="1" applyBorder="1" applyAlignment="1">
      <alignment vertical="center"/>
    </xf>
    <xf numFmtId="174" fontId="4" fillId="0" borderId="0" xfId="0" applyNumberFormat="1" applyFont="1" applyAlignment="1">
      <alignment vertical="center"/>
    </xf>
    <xf numFmtId="174" fontId="4" fillId="0" borderId="15" xfId="0" applyNumberFormat="1" applyFont="1" applyBorder="1" applyAlignment="1">
      <alignment vertical="center"/>
    </xf>
    <xf numFmtId="0" fontId="11" fillId="0" borderId="0" xfId="0" applyFont="1"/>
    <xf numFmtId="0" fontId="10" fillId="2" borderId="1" xfId="0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0" fontId="9" fillId="4" borderId="30" xfId="0" applyFont="1" applyFill="1" applyBorder="1" applyAlignment="1">
      <alignment vertical="center"/>
    </xf>
    <xf numFmtId="172" fontId="9" fillId="4" borderId="30" xfId="0" applyNumberFormat="1" applyFont="1" applyFill="1" applyBorder="1" applyAlignment="1">
      <alignment vertical="center"/>
    </xf>
    <xf numFmtId="172" fontId="9" fillId="4" borderId="25" xfId="0" applyNumberFormat="1" applyFont="1" applyFill="1" applyBorder="1" applyAlignment="1">
      <alignment vertical="center"/>
    </xf>
    <xf numFmtId="173" fontId="9" fillId="4" borderId="30" xfId="0" applyNumberFormat="1" applyFont="1" applyFill="1" applyBorder="1" applyAlignment="1">
      <alignment vertical="center"/>
    </xf>
    <xf numFmtId="173" fontId="9" fillId="4" borderId="25" xfId="0" applyNumberFormat="1" applyFont="1" applyFill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9" fillId="6" borderId="24" xfId="0" applyFont="1" applyFill="1" applyBorder="1" applyAlignment="1">
      <alignment vertical="center"/>
    </xf>
    <xf numFmtId="0" fontId="9" fillId="6" borderId="30" xfId="0" applyFont="1" applyFill="1" applyBorder="1" applyAlignment="1">
      <alignment vertical="center"/>
    </xf>
    <xf numFmtId="172" fontId="9" fillId="6" borderId="30" xfId="0" applyNumberFormat="1" applyFont="1" applyFill="1" applyBorder="1" applyAlignment="1">
      <alignment vertical="center"/>
    </xf>
    <xf numFmtId="172" fontId="9" fillId="6" borderId="25" xfId="0" applyNumberFormat="1" applyFont="1" applyFill="1" applyBorder="1" applyAlignment="1">
      <alignment vertical="center"/>
    </xf>
    <xf numFmtId="173" fontId="9" fillId="6" borderId="30" xfId="0" applyNumberFormat="1" applyFont="1" applyFill="1" applyBorder="1" applyAlignment="1">
      <alignment vertical="center"/>
    </xf>
    <xf numFmtId="173" fontId="9" fillId="6" borderId="25" xfId="0" applyNumberFormat="1" applyFont="1" applyFill="1" applyBorder="1" applyAlignment="1">
      <alignment vertical="center"/>
    </xf>
    <xf numFmtId="0" fontId="5" fillId="7" borderId="30" xfId="0" applyFont="1" applyFill="1" applyBorder="1" applyAlignment="1">
      <alignment vertical="center"/>
    </xf>
    <xf numFmtId="174" fontId="5" fillId="7" borderId="30" xfId="0" applyNumberFormat="1" applyFont="1" applyFill="1" applyBorder="1" applyAlignment="1">
      <alignment vertical="center"/>
    </xf>
    <xf numFmtId="174" fontId="5" fillId="7" borderId="25" xfId="0" applyNumberFormat="1" applyFont="1" applyFill="1" applyBorder="1" applyAlignment="1">
      <alignment vertical="center"/>
    </xf>
    <xf numFmtId="0" fontId="5" fillId="7" borderId="19" xfId="0" applyFont="1" applyFill="1" applyBorder="1" applyAlignment="1">
      <alignment vertical="center"/>
    </xf>
    <xf numFmtId="174" fontId="5" fillId="7" borderId="19" xfId="0" applyNumberFormat="1" applyFont="1" applyFill="1" applyBorder="1" applyAlignment="1">
      <alignment vertical="center"/>
    </xf>
    <xf numFmtId="174" fontId="5" fillId="7" borderId="22" xfId="0" applyNumberFormat="1" applyFont="1" applyFill="1" applyBorder="1" applyAlignment="1">
      <alignment vertical="center"/>
    </xf>
    <xf numFmtId="0" fontId="5" fillId="7" borderId="17" xfId="0" applyFont="1" applyFill="1" applyBorder="1" applyAlignment="1">
      <alignment vertical="center"/>
    </xf>
    <xf numFmtId="174" fontId="5" fillId="7" borderId="17" xfId="0" applyNumberFormat="1" applyFont="1" applyFill="1" applyBorder="1" applyAlignment="1">
      <alignment vertical="center"/>
    </xf>
    <xf numFmtId="174" fontId="5" fillId="7" borderId="23" xfId="0" applyNumberFormat="1" applyFont="1" applyFill="1" applyBorder="1" applyAlignment="1">
      <alignment vertical="center"/>
    </xf>
    <xf numFmtId="0" fontId="10" fillId="9" borderId="32" xfId="0" applyFont="1" applyFill="1" applyBorder="1" applyAlignment="1">
      <alignment vertical="center"/>
    </xf>
    <xf numFmtId="0" fontId="10" fillId="9" borderId="33" xfId="0" applyFont="1" applyFill="1" applyBorder="1" applyAlignment="1">
      <alignment vertical="center"/>
    </xf>
    <xf numFmtId="0" fontId="10" fillId="9" borderId="34" xfId="0" applyFont="1" applyFill="1" applyBorder="1" applyAlignment="1">
      <alignment vertical="center"/>
    </xf>
    <xf numFmtId="0" fontId="10" fillId="9" borderId="35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0" fillId="9" borderId="36" xfId="0" applyFont="1" applyFill="1" applyBorder="1" applyAlignment="1">
      <alignment vertical="center"/>
    </xf>
    <xf numFmtId="0" fontId="10" fillId="9" borderId="37" xfId="0" applyFont="1" applyFill="1" applyBorder="1" applyAlignment="1">
      <alignment vertical="center"/>
    </xf>
    <xf numFmtId="0" fontId="10" fillId="9" borderId="38" xfId="0" applyFont="1" applyFill="1" applyBorder="1" applyAlignment="1">
      <alignment vertical="center"/>
    </xf>
    <xf numFmtId="0" fontId="10" fillId="9" borderId="39" xfId="0" applyFont="1" applyFill="1" applyBorder="1" applyAlignment="1">
      <alignment vertical="center"/>
    </xf>
    <xf numFmtId="0" fontId="3" fillId="12" borderId="1" xfId="1" applyFill="1"/>
    <xf numFmtId="37" fontId="17" fillId="13" borderId="1" xfId="1" applyNumberFormat="1" applyFont="1" applyFill="1" applyAlignment="1">
      <alignment vertical="center"/>
    </xf>
    <xf numFmtId="185" fontId="19" fillId="12" borderId="1" xfId="2" applyNumberFormat="1" applyFont="1" applyFill="1"/>
    <xf numFmtId="0" fontId="3" fillId="0" borderId="1" xfId="1"/>
    <xf numFmtId="37" fontId="17" fillId="14" borderId="1" xfId="1" applyNumberFormat="1" applyFont="1" applyFill="1" applyAlignment="1">
      <alignment vertical="center"/>
    </xf>
    <xf numFmtId="185" fontId="19" fillId="8" borderId="1" xfId="2" applyNumberFormat="1" applyFont="1" applyFill="1"/>
    <xf numFmtId="0" fontId="20" fillId="0" borderId="1" xfId="1" applyFont="1"/>
    <xf numFmtId="0" fontId="21" fillId="0" borderId="1" xfId="1" applyFont="1"/>
    <xf numFmtId="186" fontId="21" fillId="0" borderId="1" xfId="1" applyNumberFormat="1" applyFont="1"/>
    <xf numFmtId="186" fontId="21" fillId="0" borderId="40" xfId="1" applyNumberFormat="1" applyFont="1" applyBorder="1"/>
    <xf numFmtId="185" fontId="23" fillId="0" borderId="40" xfId="3" applyNumberFormat="1" applyFont="1" applyBorder="1" applyAlignment="1"/>
    <xf numFmtId="185" fontId="24" fillId="12" borderId="1" xfId="2" applyNumberFormat="1" applyFont="1" applyFill="1" applyAlignment="1">
      <alignment wrapText="1"/>
    </xf>
    <xf numFmtId="185" fontId="25" fillId="12" borderId="38" xfId="2" applyNumberFormat="1" applyFont="1" applyFill="1" applyBorder="1" applyAlignment="1">
      <alignment horizontal="right"/>
    </xf>
    <xf numFmtId="187" fontId="27" fillId="0" borderId="1" xfId="4" applyNumberFormat="1" applyFont="1" applyAlignment="1" applyProtection="1">
      <alignment horizontal="left"/>
      <protection locked="0"/>
    </xf>
    <xf numFmtId="188" fontId="28" fillId="0" borderId="1" xfId="1" applyNumberFormat="1" applyFont="1" applyAlignment="1">
      <alignment horizontal="right" vertical="center"/>
    </xf>
    <xf numFmtId="188" fontId="29" fillId="0" borderId="1" xfId="1" applyNumberFormat="1" applyFont="1" applyAlignment="1">
      <alignment horizontal="right" vertical="center"/>
    </xf>
    <xf numFmtId="185" fontId="21" fillId="0" borderId="1" xfId="2" applyNumberFormat="1" applyFont="1"/>
    <xf numFmtId="189" fontId="30" fillId="0" borderId="1" xfId="1" applyNumberFormat="1" applyFont="1"/>
    <xf numFmtId="190" fontId="20" fillId="0" borderId="1" xfId="1" applyNumberFormat="1" applyFont="1"/>
    <xf numFmtId="189" fontId="31" fillId="0" borderId="1" xfId="1" applyNumberFormat="1" applyFont="1"/>
    <xf numFmtId="0" fontId="21" fillId="0" borderId="1" xfId="1" applyFont="1" applyAlignment="1">
      <alignment horizontal="left" indent="1"/>
    </xf>
    <xf numFmtId="0" fontId="21" fillId="0" borderId="1" xfId="2" applyFont="1"/>
    <xf numFmtId="191" fontId="21" fillId="0" borderId="41" xfId="5" applyNumberFormat="1" applyFont="1" applyBorder="1" applyAlignment="1">
      <alignment horizontal="right"/>
    </xf>
    <xf numFmtId="191" fontId="32" fillId="0" borderId="1" xfId="5" applyNumberFormat="1" applyFont="1" applyAlignment="1">
      <alignment horizontal="right"/>
    </xf>
    <xf numFmtId="191" fontId="33" fillId="0" borderId="1" xfId="5" applyNumberFormat="1" applyFont="1" applyAlignment="1">
      <alignment horizontal="right"/>
    </xf>
    <xf numFmtId="191" fontId="30" fillId="0" borderId="1" xfId="5" applyNumberFormat="1" applyFont="1" applyAlignment="1">
      <alignment horizontal="right"/>
    </xf>
    <xf numFmtId="2" fontId="32" fillId="0" borderId="1" xfId="1" applyNumberFormat="1" applyFont="1" applyAlignment="1">
      <alignment horizontal="right"/>
    </xf>
    <xf numFmtId="2" fontId="33" fillId="0" borderId="1" xfId="1" applyNumberFormat="1" applyFont="1" applyAlignment="1">
      <alignment horizontal="right"/>
    </xf>
    <xf numFmtId="2" fontId="30" fillId="0" borderId="1" xfId="5" applyNumberFormat="1" applyFont="1" applyAlignment="1">
      <alignment horizontal="right"/>
    </xf>
    <xf numFmtId="0" fontId="21" fillId="0" borderId="1" xfId="1" applyFont="1" applyAlignment="1">
      <alignment horizontal="right" indent="1"/>
    </xf>
    <xf numFmtId="185" fontId="21" fillId="0" borderId="1" xfId="2" applyNumberFormat="1" applyFont="1" applyAlignment="1">
      <alignment horizontal="right"/>
    </xf>
    <xf numFmtId="0" fontId="20" fillId="0" borderId="1" xfId="1" applyFont="1" applyAlignment="1">
      <alignment horizontal="right"/>
    </xf>
    <xf numFmtId="0" fontId="21" fillId="0" borderId="1" xfId="1" applyFont="1" applyAlignment="1">
      <alignment horizontal="right"/>
    </xf>
    <xf numFmtId="0" fontId="34" fillId="0" borderId="1" xfId="1" applyFont="1" applyAlignment="1">
      <alignment horizontal="right"/>
    </xf>
    <xf numFmtId="0" fontId="35" fillId="0" borderId="1" xfId="1" applyFont="1" applyAlignment="1">
      <alignment horizontal="center"/>
    </xf>
    <xf numFmtId="185" fontId="33" fillId="0" borderId="1" xfId="2" applyNumberFormat="1" applyFont="1" applyAlignment="1">
      <alignment horizontal="right"/>
    </xf>
    <xf numFmtId="185" fontId="21" fillId="0" borderId="1" xfId="1" applyNumberFormat="1" applyFont="1" applyAlignment="1">
      <alignment horizontal="right" indent="1"/>
    </xf>
    <xf numFmtId="185" fontId="33" fillId="0" borderId="1" xfId="1" applyNumberFormat="1" applyFont="1" applyAlignment="1">
      <alignment horizontal="right" indent="1"/>
    </xf>
    <xf numFmtId="0" fontId="33" fillId="0" borderId="1" xfId="1" applyFont="1"/>
    <xf numFmtId="185" fontId="36" fillId="8" borderId="1" xfId="2" applyNumberFormat="1" applyFont="1" applyFill="1"/>
    <xf numFmtId="185" fontId="37" fillId="8" borderId="1" xfId="2" applyNumberFormat="1" applyFont="1" applyFill="1"/>
    <xf numFmtId="185" fontId="23" fillId="8" borderId="1" xfId="3" applyNumberFormat="1" applyFont="1" applyFill="1"/>
    <xf numFmtId="185" fontId="21" fillId="8" borderId="1" xfId="2" applyNumberFormat="1" applyFont="1" applyFill="1"/>
    <xf numFmtId="0" fontId="33" fillId="8" borderId="1" xfId="1" applyFont="1" applyFill="1"/>
    <xf numFmtId="185" fontId="37" fillId="0" borderId="1" xfId="2" applyNumberFormat="1" applyFont="1"/>
    <xf numFmtId="185" fontId="24" fillId="12" borderId="1" xfId="2" applyNumberFormat="1" applyFont="1" applyFill="1"/>
    <xf numFmtId="185" fontId="25" fillId="12" borderId="1" xfId="2" applyNumberFormat="1" applyFont="1" applyFill="1" applyAlignment="1">
      <alignment horizontal="right"/>
    </xf>
    <xf numFmtId="185" fontId="20" fillId="0" borderId="1" xfId="1" applyNumberFormat="1" applyFont="1"/>
    <xf numFmtId="39" fontId="33" fillId="0" borderId="1" xfId="1" applyNumberFormat="1" applyFont="1"/>
    <xf numFmtId="39" fontId="30" fillId="0" borderId="1" xfId="1" applyNumberFormat="1" applyFont="1"/>
    <xf numFmtId="39" fontId="33" fillId="0" borderId="42" xfId="1" applyNumberFormat="1" applyFont="1" applyBorder="1"/>
    <xf numFmtId="39" fontId="30" fillId="0" borderId="17" xfId="1" applyNumberFormat="1" applyFont="1" applyBorder="1"/>
    <xf numFmtId="2" fontId="33" fillId="0" borderId="1" xfId="1" applyNumberFormat="1" applyFont="1"/>
    <xf numFmtId="0" fontId="38" fillId="0" borderId="1" xfId="1" applyFont="1"/>
    <xf numFmtId="39" fontId="25" fillId="0" borderId="1" xfId="2" applyNumberFormat="1" applyFont="1" applyAlignment="1">
      <alignment horizontal="right" vertical="top" wrapText="1"/>
    </xf>
    <xf numFmtId="39" fontId="39" fillId="0" borderId="1" xfId="2" applyNumberFormat="1" applyFont="1" applyAlignment="1">
      <alignment horizontal="right" vertical="top" wrapText="1"/>
    </xf>
    <xf numFmtId="0" fontId="40" fillId="0" borderId="1" xfId="2" applyFont="1" applyAlignment="1">
      <alignment horizontal="left" vertical="top"/>
    </xf>
    <xf numFmtId="39" fontId="40" fillId="0" borderId="1" xfId="2" applyNumberFormat="1" applyFont="1" applyAlignment="1">
      <alignment horizontal="right" vertical="top" wrapText="1"/>
    </xf>
    <xf numFmtId="39" fontId="30" fillId="0" borderId="17" xfId="2" applyNumberFormat="1" applyFont="1" applyBorder="1" applyAlignment="1">
      <alignment horizontal="right" vertical="top" wrapText="1"/>
    </xf>
    <xf numFmtId="0" fontId="25" fillId="0" borderId="1" xfId="2" applyFont="1" applyAlignment="1">
      <alignment horizontal="left" vertical="top"/>
    </xf>
    <xf numFmtId="39" fontId="25" fillId="0" borderId="43" xfId="2" applyNumberFormat="1" applyFont="1" applyBorder="1" applyAlignment="1">
      <alignment horizontal="right" vertical="top" wrapText="1"/>
    </xf>
    <xf numFmtId="39" fontId="39" fillId="0" borderId="1" xfId="1" applyNumberFormat="1" applyFont="1"/>
    <xf numFmtId="39" fontId="40" fillId="0" borderId="1" xfId="2" applyNumberFormat="1" applyFont="1" applyAlignment="1">
      <alignment horizontal="left" vertical="top"/>
    </xf>
    <xf numFmtId="39" fontId="34" fillId="0" borderId="1" xfId="1" applyNumberFormat="1" applyFont="1"/>
    <xf numFmtId="39" fontId="40" fillId="0" borderId="17" xfId="2" applyNumberFormat="1" applyFont="1" applyBorder="1" applyAlignment="1">
      <alignment horizontal="right" vertical="top" wrapText="1"/>
    </xf>
    <xf numFmtId="39" fontId="30" fillId="0" borderId="1" xfId="2" applyNumberFormat="1" applyFont="1"/>
    <xf numFmtId="39" fontId="41" fillId="0" borderId="1" xfId="2" applyNumberFormat="1" applyFont="1" applyAlignment="1">
      <alignment horizontal="right" vertical="top" wrapText="1"/>
    </xf>
    <xf numFmtId="39" fontId="20" fillId="0" borderId="1" xfId="1" applyNumberFormat="1" applyFont="1"/>
    <xf numFmtId="39" fontId="21" fillId="0" borderId="1" xfId="2" applyNumberFormat="1" applyFont="1"/>
    <xf numFmtId="39" fontId="3" fillId="0" borderId="1" xfId="1" applyNumberFormat="1"/>
    <xf numFmtId="39" fontId="23" fillId="8" borderId="1" xfId="3" applyNumberFormat="1" applyFont="1" applyFill="1"/>
    <xf numFmtId="39" fontId="21" fillId="8" borderId="1" xfId="1" applyNumberFormat="1" applyFont="1" applyFill="1"/>
    <xf numFmtId="39" fontId="21" fillId="8" borderId="1" xfId="2" applyNumberFormat="1" applyFont="1" applyFill="1"/>
    <xf numFmtId="39" fontId="21" fillId="0" borderId="1" xfId="1" applyNumberFormat="1" applyFont="1"/>
    <xf numFmtId="185" fontId="25" fillId="12" borderId="1" xfId="2" applyNumberFormat="1" applyFont="1" applyFill="1" applyAlignment="1">
      <alignment horizontal="right" wrapText="1"/>
    </xf>
    <xf numFmtId="185" fontId="25" fillId="0" borderId="1" xfId="2" applyNumberFormat="1" applyFont="1" applyAlignment="1">
      <alignment horizontal="left" vertical="top"/>
    </xf>
    <xf numFmtId="185" fontId="43" fillId="0" borderId="1" xfId="2" applyNumberFormat="1" applyFont="1" applyAlignment="1">
      <alignment horizontal="left" vertical="top"/>
    </xf>
    <xf numFmtId="185" fontId="40" fillId="0" borderId="1" xfId="2" applyNumberFormat="1" applyFont="1" applyAlignment="1">
      <alignment horizontal="left" vertical="top"/>
    </xf>
    <xf numFmtId="185" fontId="40" fillId="0" borderId="1" xfId="2" applyNumberFormat="1" applyFont="1" applyAlignment="1">
      <alignment horizontal="right" vertical="top" wrapText="1"/>
    </xf>
    <xf numFmtId="192" fontId="30" fillId="0" borderId="1" xfId="2" applyNumberFormat="1" applyFont="1"/>
    <xf numFmtId="192" fontId="40" fillId="0" borderId="1" xfId="2" applyNumberFormat="1" applyFont="1" applyAlignment="1">
      <alignment horizontal="right" vertical="top" wrapText="1"/>
    </xf>
    <xf numFmtId="185" fontId="40" fillId="0" borderId="17" xfId="2" applyNumberFormat="1" applyFont="1" applyBorder="1" applyAlignment="1">
      <alignment horizontal="right" vertical="top" wrapText="1"/>
    </xf>
    <xf numFmtId="185" fontId="25" fillId="0" borderId="1" xfId="2" applyNumberFormat="1" applyFont="1" applyAlignment="1">
      <alignment horizontal="right" vertical="top" wrapText="1"/>
    </xf>
    <xf numFmtId="192" fontId="3" fillId="0" borderId="1" xfId="1" applyNumberFormat="1"/>
    <xf numFmtId="192" fontId="30" fillId="0" borderId="17" xfId="2" applyNumberFormat="1" applyFont="1" applyBorder="1"/>
    <xf numFmtId="192" fontId="39" fillId="0" borderId="1" xfId="2" applyNumberFormat="1" applyFont="1"/>
    <xf numFmtId="192" fontId="44" fillId="0" borderId="17" xfId="2" applyNumberFormat="1" applyFont="1" applyBorder="1"/>
    <xf numFmtId="185" fontId="25" fillId="0" borderId="1" xfId="1" applyNumberFormat="1" applyFont="1" applyAlignment="1">
      <alignment horizontal="left" vertical="top"/>
    </xf>
    <xf numFmtId="185" fontId="43" fillId="0" borderId="1" xfId="1" applyNumberFormat="1" applyFont="1" applyAlignment="1">
      <alignment horizontal="left" vertical="top"/>
    </xf>
    <xf numFmtId="185" fontId="40" fillId="0" borderId="1" xfId="1" applyNumberFormat="1" applyFont="1" applyAlignment="1">
      <alignment horizontal="left" vertical="top"/>
    </xf>
    <xf numFmtId="185" fontId="40" fillId="0" borderId="1" xfId="1" applyNumberFormat="1" applyFont="1" applyAlignment="1">
      <alignment horizontal="right" vertical="top" wrapText="1"/>
    </xf>
    <xf numFmtId="185" fontId="40" fillId="0" borderId="17" xfId="1" applyNumberFormat="1" applyFont="1" applyBorder="1" applyAlignment="1">
      <alignment horizontal="right" vertical="top" wrapText="1"/>
    </xf>
    <xf numFmtId="192" fontId="45" fillId="0" borderId="45" xfId="2" applyNumberFormat="1" applyFont="1" applyBorder="1"/>
    <xf numFmtId="185" fontId="21" fillId="0" borderId="1" xfId="6" applyNumberFormat="1" applyFont="1"/>
    <xf numFmtId="185" fontId="20" fillId="0" borderId="1" xfId="6" applyNumberFormat="1" applyFont="1"/>
    <xf numFmtId="185" fontId="46" fillId="0" borderId="1" xfId="6" applyNumberFormat="1" applyFont="1"/>
    <xf numFmtId="192" fontId="34" fillId="0" borderId="1" xfId="1" applyNumberFormat="1" applyFont="1"/>
    <xf numFmtId="185" fontId="40" fillId="0" borderId="17" xfId="2" applyNumberFormat="1" applyFont="1" applyBorder="1" applyAlignment="1">
      <alignment horizontal="left" vertical="top"/>
    </xf>
    <xf numFmtId="192" fontId="34" fillId="0" borderId="17" xfId="1" applyNumberFormat="1" applyFont="1" applyBorder="1"/>
    <xf numFmtId="192" fontId="21" fillId="0" borderId="1" xfId="2" applyNumberFormat="1" applyFont="1"/>
    <xf numFmtId="0" fontId="36" fillId="8" borderId="1" xfId="2" applyFont="1" applyFill="1"/>
    <xf numFmtId="0" fontId="23" fillId="8" borderId="1" xfId="3" applyFont="1" applyFill="1" applyAlignment="1"/>
    <xf numFmtId="39" fontId="47" fillId="8" borderId="1" xfId="3" applyNumberFormat="1" applyFont="1" applyFill="1" applyAlignment="1"/>
    <xf numFmtId="39" fontId="23" fillId="8" borderId="1" xfId="3" applyNumberFormat="1" applyFont="1" applyFill="1" applyAlignment="1"/>
    <xf numFmtId="39" fontId="3" fillId="8" borderId="1" xfId="1" applyNumberFormat="1" applyFill="1"/>
    <xf numFmtId="0" fontId="37" fillId="0" borderId="1" xfId="2" applyFont="1"/>
    <xf numFmtId="0" fontId="23" fillId="0" borderId="1" xfId="3" applyFont="1" applyAlignment="1"/>
    <xf numFmtId="39" fontId="47" fillId="0" borderId="1" xfId="3" applyNumberFormat="1" applyFont="1" applyAlignment="1"/>
    <xf numFmtId="39" fontId="23" fillId="0" borderId="1" xfId="3" applyNumberFormat="1" applyFont="1" applyAlignment="1"/>
    <xf numFmtId="0" fontId="24" fillId="12" borderId="1" xfId="2" applyFont="1" applyFill="1" applyAlignment="1">
      <alignment wrapText="1"/>
    </xf>
    <xf numFmtId="0" fontId="29" fillId="0" borderId="1" xfId="2" applyFont="1" applyAlignment="1">
      <alignment horizontal="left" vertical="top"/>
    </xf>
    <xf numFmtId="190" fontId="25" fillId="0" borderId="1" xfId="2" applyNumberFormat="1" applyFont="1" applyAlignment="1">
      <alignment horizontal="right" vertical="top" wrapText="1"/>
    </xf>
    <xf numFmtId="190" fontId="40" fillId="0" borderId="1" xfId="2" applyNumberFormat="1" applyFont="1" applyAlignment="1">
      <alignment horizontal="right" vertical="top" wrapText="1"/>
    </xf>
    <xf numFmtId="190" fontId="40" fillId="0" borderId="1" xfId="2" applyNumberFormat="1" applyFont="1" applyAlignment="1">
      <alignment horizontal="left" vertical="top"/>
    </xf>
    <xf numFmtId="192" fontId="30" fillId="0" borderId="1" xfId="1" applyNumberFormat="1" applyFont="1"/>
    <xf numFmtId="190" fontId="40" fillId="0" borderId="17" xfId="2" applyNumberFormat="1" applyFont="1" applyBorder="1" applyAlignment="1">
      <alignment horizontal="right" vertical="top" wrapText="1"/>
    </xf>
    <xf numFmtId="192" fontId="30" fillId="0" borderId="44" xfId="2" applyNumberFormat="1" applyFont="1" applyBorder="1"/>
    <xf numFmtId="190" fontId="40" fillId="0" borderId="17" xfId="2" applyNumberFormat="1" applyFont="1" applyBorder="1" applyAlignment="1">
      <alignment horizontal="left" vertical="top"/>
    </xf>
    <xf numFmtId="192" fontId="42" fillId="0" borderId="17" xfId="2" applyNumberFormat="1" applyFont="1" applyBorder="1"/>
    <xf numFmtId="0" fontId="48" fillId="0" borderId="0" xfId="0" applyFont="1"/>
    <xf numFmtId="0" fontId="33" fillId="0" borderId="0" xfId="0" applyFont="1"/>
    <xf numFmtId="0" fontId="38" fillId="0" borderId="0" xfId="0" applyFont="1"/>
    <xf numFmtId="0" fontId="38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51" fillId="10" borderId="7" xfId="0" applyFont="1" applyFill="1" applyBorder="1" applyAlignment="1">
      <alignment horizontal="left"/>
    </xf>
    <xf numFmtId="0" fontId="19" fillId="10" borderId="8" xfId="0" applyFont="1" applyFill="1" applyBorder="1"/>
    <xf numFmtId="0" fontId="52" fillId="0" borderId="6" xfId="0" applyFont="1" applyBorder="1" applyAlignment="1">
      <alignment horizontal="left"/>
    </xf>
    <xf numFmtId="169" fontId="53" fillId="0" borderId="0" xfId="0" applyNumberFormat="1" applyFont="1"/>
    <xf numFmtId="170" fontId="52" fillId="2" borderId="1" xfId="0" applyNumberFormat="1" applyFont="1" applyFill="1" applyBorder="1"/>
    <xf numFmtId="170" fontId="52" fillId="2" borderId="9" xfId="0" applyNumberFormat="1" applyFont="1" applyFill="1" applyBorder="1"/>
    <xf numFmtId="0" fontId="11" fillId="0" borderId="6" xfId="0" applyFont="1" applyBorder="1" applyAlignment="1">
      <alignment horizontal="left"/>
    </xf>
    <xf numFmtId="0" fontId="52" fillId="0" borderId="0" xfId="0" applyFont="1"/>
    <xf numFmtId="170" fontId="54" fillId="2" borderId="1" xfId="0" applyNumberFormat="1" applyFont="1" applyFill="1" applyBorder="1"/>
    <xf numFmtId="0" fontId="11" fillId="0" borderId="10" xfId="0" applyFont="1" applyBorder="1" applyAlignment="1">
      <alignment horizontal="left"/>
    </xf>
    <xf numFmtId="0" fontId="11" fillId="0" borderId="11" xfId="0" applyFont="1" applyBorder="1"/>
    <xf numFmtId="170" fontId="54" fillId="2" borderId="11" xfId="0" applyNumberFormat="1" applyFont="1" applyFill="1" applyBorder="1"/>
    <xf numFmtId="0" fontId="11" fillId="0" borderId="0" xfId="0" applyFont="1" applyAlignment="1">
      <alignment horizontal="left"/>
    </xf>
    <xf numFmtId="0" fontId="33" fillId="0" borderId="0" xfId="0" applyFont="1" applyAlignment="1">
      <alignment horizontal="center" wrapText="1"/>
    </xf>
    <xf numFmtId="168" fontId="33" fillId="0" borderId="0" xfId="0" applyNumberFormat="1" applyFont="1"/>
    <xf numFmtId="10" fontId="32" fillId="3" borderId="1" xfId="0" applyNumberFormat="1" applyFont="1" applyFill="1" applyBorder="1" applyAlignment="1">
      <alignment horizontal="right"/>
    </xf>
    <xf numFmtId="4" fontId="29" fillId="11" borderId="30" xfId="0" applyNumberFormat="1" applyFont="1" applyFill="1" applyBorder="1" applyAlignment="1">
      <alignment horizontal="right"/>
    </xf>
    <xf numFmtId="164" fontId="51" fillId="10" borderId="8" xfId="0" applyNumberFormat="1" applyFont="1" applyFill="1" applyBorder="1"/>
    <xf numFmtId="167" fontId="52" fillId="2" borderId="1" xfId="0" applyNumberFormat="1" applyFont="1" applyFill="1" applyBorder="1"/>
    <xf numFmtId="167" fontId="52" fillId="2" borderId="9" xfId="0" applyNumberFormat="1" applyFont="1" applyFill="1" applyBorder="1"/>
    <xf numFmtId="167" fontId="55" fillId="0" borderId="2" xfId="0" applyNumberFormat="1" applyFont="1" applyBorder="1" applyAlignment="1">
      <alignment horizontal="right"/>
    </xf>
    <xf numFmtId="10" fontId="33" fillId="0" borderId="0" xfId="0" applyNumberFormat="1" applyFont="1"/>
    <xf numFmtId="167" fontId="51" fillId="10" borderId="8" xfId="0" applyNumberFormat="1" applyFont="1" applyFill="1" applyBorder="1"/>
    <xf numFmtId="169" fontId="51" fillId="10" borderId="8" xfId="0" applyNumberFormat="1" applyFont="1" applyFill="1" applyBorder="1"/>
    <xf numFmtId="10" fontId="52" fillId="2" borderId="1" xfId="0" applyNumberFormat="1" applyFont="1" applyFill="1" applyBorder="1"/>
    <xf numFmtId="10" fontId="56" fillId="2" borderId="1" xfId="0" applyNumberFormat="1" applyFont="1" applyFill="1" applyBorder="1"/>
    <xf numFmtId="9" fontId="54" fillId="2" borderId="12" xfId="0" applyNumberFormat="1" applyFont="1" applyFill="1" applyBorder="1"/>
    <xf numFmtId="9" fontId="54" fillId="2" borderId="2" xfId="0" applyNumberFormat="1" applyFont="1" applyFill="1" applyBorder="1"/>
    <xf numFmtId="10" fontId="54" fillId="2" borderId="2" xfId="0" applyNumberFormat="1" applyFont="1" applyFill="1" applyBorder="1"/>
    <xf numFmtId="2" fontId="52" fillId="2" borderId="1" xfId="0" applyNumberFormat="1" applyFont="1" applyFill="1" applyBorder="1"/>
    <xf numFmtId="2" fontId="54" fillId="2" borderId="2" xfId="0" applyNumberFormat="1" applyFont="1" applyFill="1" applyBorder="1"/>
    <xf numFmtId="2" fontId="54" fillId="2" borderId="12" xfId="0" applyNumberFormat="1" applyFont="1" applyFill="1" applyBorder="1"/>
    <xf numFmtId="10" fontId="54" fillId="2" borderId="12" xfId="0" applyNumberFormat="1" applyFont="1" applyFill="1" applyBorder="1"/>
    <xf numFmtId="2" fontId="33" fillId="2" borderId="1" xfId="0" applyNumberFormat="1" applyFont="1" applyFill="1" applyBorder="1"/>
    <xf numFmtId="10" fontId="52" fillId="2" borderId="9" xfId="0" applyNumberFormat="1" applyFont="1" applyFill="1" applyBorder="1"/>
    <xf numFmtId="10" fontId="54" fillId="2" borderId="1" xfId="0" applyNumberFormat="1" applyFont="1" applyFill="1" applyBorder="1"/>
    <xf numFmtId="10" fontId="52" fillId="9" borderId="8" xfId="0" applyNumberFormat="1" applyFont="1" applyFill="1" applyBorder="1"/>
    <xf numFmtId="10" fontId="52" fillId="9" borderId="14" xfId="0" applyNumberFormat="1" applyFont="1" applyFill="1" applyBorder="1"/>
    <xf numFmtId="169" fontId="51" fillId="10" borderId="14" xfId="0" applyNumberFormat="1" applyFont="1" applyFill="1" applyBorder="1"/>
    <xf numFmtId="0" fontId="10" fillId="0" borderId="0" xfId="0" applyFont="1" applyAlignment="1">
      <alignment vertical="center"/>
    </xf>
    <xf numFmtId="0" fontId="15" fillId="0" borderId="18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9" fontId="60" fillId="0" borderId="0" xfId="0" applyNumberFormat="1" applyFont="1" applyAlignment="1">
      <alignment vertical="center"/>
    </xf>
    <xf numFmtId="0" fontId="65" fillId="7" borderId="30" xfId="0" applyFont="1" applyFill="1" applyBorder="1" applyAlignment="1">
      <alignment vertical="center"/>
    </xf>
    <xf numFmtId="0" fontId="60" fillId="0" borderId="20" xfId="0" applyFont="1" applyBorder="1" applyAlignment="1">
      <alignment vertical="center"/>
    </xf>
    <xf numFmtId="0" fontId="60" fillId="0" borderId="19" xfId="0" applyFont="1" applyBorder="1" applyAlignment="1">
      <alignment vertical="center"/>
    </xf>
    <xf numFmtId="174" fontId="60" fillId="0" borderId="22" xfId="0" applyNumberFormat="1" applyFont="1" applyBorder="1" applyAlignment="1">
      <alignment vertical="center"/>
    </xf>
    <xf numFmtId="175" fontId="62" fillId="0" borderId="0" xfId="0" applyNumberFormat="1" applyFont="1" applyAlignment="1">
      <alignment vertical="center"/>
    </xf>
    <xf numFmtId="0" fontId="60" fillId="0" borderId="21" xfId="0" applyFont="1" applyBorder="1" applyAlignment="1">
      <alignment vertical="center"/>
    </xf>
    <xf numFmtId="0" fontId="60" fillId="0" borderId="17" xfId="0" applyFont="1" applyBorder="1" applyAlignment="1">
      <alignment vertical="center"/>
    </xf>
    <xf numFmtId="181" fontId="60" fillId="0" borderId="23" xfId="0" applyNumberFormat="1" applyFont="1" applyBorder="1" applyAlignment="1">
      <alignment vertical="center"/>
    </xf>
    <xf numFmtId="175" fontId="60" fillId="0" borderId="23" xfId="0" applyNumberFormat="1" applyFont="1" applyBorder="1" applyAlignment="1">
      <alignment vertical="center"/>
    </xf>
    <xf numFmtId="0" fontId="65" fillId="7" borderId="21" xfId="0" applyFont="1" applyFill="1" applyBorder="1" applyAlignment="1">
      <alignment vertical="center"/>
    </xf>
    <xf numFmtId="0" fontId="65" fillId="7" borderId="17" xfId="0" applyFont="1" applyFill="1" applyBorder="1" applyAlignment="1">
      <alignment vertical="center"/>
    </xf>
    <xf numFmtId="174" fontId="65" fillId="7" borderId="23" xfId="0" applyNumberFormat="1" applyFont="1" applyFill="1" applyBorder="1" applyAlignment="1">
      <alignment vertical="center"/>
    </xf>
    <xf numFmtId="174" fontId="60" fillId="0" borderId="0" xfId="0" applyNumberFormat="1" applyFont="1" applyAlignment="1">
      <alignment vertical="center"/>
    </xf>
    <xf numFmtId="0" fontId="60" fillId="0" borderId="18" xfId="0" applyFont="1" applyBorder="1" applyAlignment="1">
      <alignment vertical="center"/>
    </xf>
    <xf numFmtId="2" fontId="60" fillId="0" borderId="15" xfId="0" applyNumberFormat="1" applyFont="1" applyBorder="1" applyAlignment="1">
      <alignment vertical="center"/>
    </xf>
    <xf numFmtId="174" fontId="60" fillId="0" borderId="15" xfId="0" applyNumberFormat="1" applyFont="1" applyBorder="1" applyAlignment="1">
      <alignment vertical="center"/>
    </xf>
    <xf numFmtId="0" fontId="65" fillId="7" borderId="24" xfId="0" applyFont="1" applyFill="1" applyBorder="1" applyAlignment="1">
      <alignment vertical="center"/>
    </xf>
    <xf numFmtId="174" fontId="65" fillId="7" borderId="25" xfId="0" applyNumberFormat="1" applyFont="1" applyFill="1" applyBorder="1" applyAlignment="1">
      <alignment vertical="center"/>
    </xf>
    <xf numFmtId="0" fontId="62" fillId="0" borderId="24" xfId="0" applyFont="1" applyBorder="1" applyAlignment="1">
      <alignment vertical="center"/>
    </xf>
    <xf numFmtId="0" fontId="62" fillId="0" borderId="30" xfId="0" applyFont="1" applyBorder="1" applyAlignment="1">
      <alignment vertical="center"/>
    </xf>
    <xf numFmtId="175" fontId="62" fillId="0" borderId="23" xfId="0" applyNumberFormat="1" applyFont="1" applyBorder="1" applyAlignment="1">
      <alignment vertical="center"/>
    </xf>
    <xf numFmtId="180" fontId="66" fillId="0" borderId="15" xfId="0" applyNumberFormat="1" applyFont="1" applyBorder="1"/>
    <xf numFmtId="0" fontId="65" fillId="0" borderId="0" xfId="0" applyFont="1" applyAlignment="1">
      <alignment vertical="center"/>
    </xf>
    <xf numFmtId="175" fontId="60" fillId="0" borderId="0" xfId="0" applyNumberFormat="1" applyFont="1" applyAlignment="1">
      <alignment vertical="center"/>
    </xf>
    <xf numFmtId="182" fontId="65" fillId="7" borderId="25" xfId="0" applyNumberFormat="1" applyFont="1" applyFill="1" applyBorder="1" applyAlignment="1">
      <alignment vertical="center"/>
    </xf>
    <xf numFmtId="0" fontId="62" fillId="0" borderId="21" xfId="0" applyFont="1" applyBorder="1" applyAlignment="1">
      <alignment vertical="center"/>
    </xf>
    <xf numFmtId="0" fontId="62" fillId="0" borderId="17" xfId="0" applyFont="1" applyBorder="1" applyAlignment="1">
      <alignment vertical="center"/>
    </xf>
    <xf numFmtId="9" fontId="62" fillId="0" borderId="17" xfId="0" applyNumberFormat="1" applyFont="1" applyBorder="1" applyAlignment="1">
      <alignment vertical="center"/>
    </xf>
    <xf numFmtId="175" fontId="60" fillId="0" borderId="22" xfId="0" applyNumberFormat="1" applyFont="1" applyBorder="1" applyAlignment="1">
      <alignment vertical="center"/>
    </xf>
    <xf numFmtId="9" fontId="62" fillId="0" borderId="0" xfId="0" applyNumberFormat="1" applyFont="1" applyAlignment="1">
      <alignment vertical="center"/>
    </xf>
    <xf numFmtId="175" fontId="60" fillId="0" borderId="15" xfId="0" applyNumberFormat="1" applyFont="1" applyBorder="1" applyAlignment="1">
      <alignment vertical="center"/>
    </xf>
    <xf numFmtId="175" fontId="60" fillId="0" borderId="0" xfId="0" applyNumberFormat="1" applyFont="1" applyAlignment="1">
      <alignment horizontal="center" vertical="center"/>
    </xf>
    <xf numFmtId="2" fontId="60" fillId="0" borderId="0" xfId="0" applyNumberFormat="1" applyFont="1" applyAlignment="1">
      <alignment vertical="center"/>
    </xf>
    <xf numFmtId="0" fontId="65" fillId="0" borderId="26" xfId="0" applyFont="1" applyBorder="1" applyAlignment="1">
      <alignment vertical="center"/>
    </xf>
    <xf numFmtId="0" fontId="65" fillId="0" borderId="27" xfId="0" applyFont="1" applyBorder="1" applyAlignment="1">
      <alignment vertical="center"/>
    </xf>
    <xf numFmtId="2" fontId="65" fillId="0" borderId="28" xfId="0" applyNumberFormat="1" applyFont="1" applyBorder="1" applyAlignment="1">
      <alignment horizontal="left" vertical="center"/>
    </xf>
    <xf numFmtId="0" fontId="10" fillId="0" borderId="20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4" fontId="58" fillId="0" borderId="15" xfId="0" applyNumberFormat="1" applyFont="1" applyBorder="1"/>
    <xf numFmtId="0" fontId="11" fillId="0" borderId="0" xfId="0" applyFont="1" applyAlignment="1">
      <alignment vertical="center"/>
    </xf>
    <xf numFmtId="0" fontId="10" fillId="0" borderId="18" xfId="0" applyFont="1" applyBorder="1" applyAlignment="1">
      <alignment vertical="center"/>
    </xf>
    <xf numFmtId="10" fontId="58" fillId="0" borderId="22" xfId="0" applyNumberFormat="1" applyFont="1" applyBorder="1"/>
    <xf numFmtId="0" fontId="58" fillId="0" borderId="15" xfId="0" applyFont="1" applyBorder="1"/>
    <xf numFmtId="0" fontId="68" fillId="0" borderId="0" xfId="0" applyFont="1" applyAlignment="1">
      <alignment vertical="center"/>
    </xf>
    <xf numFmtId="10" fontId="58" fillId="0" borderId="15" xfId="0" applyNumberFormat="1" applyFont="1" applyBorder="1"/>
    <xf numFmtId="0" fontId="10" fillId="0" borderId="21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11" fontId="10" fillId="0" borderId="20" xfId="0" applyNumberFormat="1" applyFont="1" applyBorder="1" applyAlignment="1">
      <alignment vertical="center"/>
    </xf>
    <xf numFmtId="11" fontId="10" fillId="0" borderId="19" xfId="0" applyNumberFormat="1" applyFont="1" applyBorder="1" applyAlignment="1">
      <alignment vertical="center"/>
    </xf>
    <xf numFmtId="11" fontId="10" fillId="0" borderId="18" xfId="0" applyNumberFormat="1" applyFont="1" applyBorder="1" applyAlignment="1">
      <alignment vertical="center"/>
    </xf>
    <xf numFmtId="11" fontId="10" fillId="0" borderId="0" xfId="0" applyNumberFormat="1" applyFont="1" applyAlignment="1">
      <alignment vertical="center"/>
    </xf>
    <xf numFmtId="10" fontId="58" fillId="0" borderId="0" xfId="0" applyNumberFormat="1" applyFont="1"/>
    <xf numFmtId="0" fontId="48" fillId="15" borderId="0" xfId="0" applyFont="1" applyFill="1"/>
    <xf numFmtId="0" fontId="11" fillId="15" borderId="0" xfId="0" applyFont="1" applyFill="1"/>
    <xf numFmtId="0" fontId="49" fillId="15" borderId="0" xfId="0" applyFont="1" applyFill="1"/>
    <xf numFmtId="0" fontId="50" fillId="15" borderId="0" xfId="0" applyFont="1" applyFill="1"/>
    <xf numFmtId="0" fontId="33" fillId="15" borderId="0" xfId="0" applyFont="1" applyFill="1"/>
    <xf numFmtId="0" fontId="38" fillId="15" borderId="0" xfId="0" applyFont="1" applyFill="1"/>
    <xf numFmtId="0" fontId="38" fillId="15" borderId="17" xfId="0" applyFont="1" applyFill="1" applyBorder="1" applyAlignment="1">
      <alignment horizontal="center"/>
    </xf>
    <xf numFmtId="0" fontId="38" fillId="15" borderId="0" xfId="0" applyFont="1" applyFill="1" applyAlignment="1">
      <alignment horizontal="center"/>
    </xf>
    <xf numFmtId="0" fontId="10" fillId="16" borderId="35" xfId="0" applyFont="1" applyFill="1" applyBorder="1" applyAlignment="1">
      <alignment vertical="center"/>
    </xf>
    <xf numFmtId="0" fontId="10" fillId="16" borderId="1" xfId="0" applyFont="1" applyFill="1" applyBorder="1" applyAlignment="1">
      <alignment vertical="center"/>
    </xf>
    <xf numFmtId="0" fontId="10" fillId="16" borderId="36" xfId="0" applyFont="1" applyFill="1" applyBorder="1" applyAlignment="1">
      <alignment vertical="center"/>
    </xf>
    <xf numFmtId="0" fontId="12" fillId="16" borderId="1" xfId="0" applyFont="1" applyFill="1" applyBorder="1" applyAlignment="1">
      <alignment vertical="center"/>
    </xf>
    <xf numFmtId="0" fontId="14" fillId="16" borderId="1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14" fontId="14" fillId="16" borderId="2" xfId="0" applyNumberFormat="1" applyFont="1" applyFill="1" applyBorder="1" applyAlignment="1">
      <alignment horizontal="center" vertical="center"/>
    </xf>
    <xf numFmtId="0" fontId="14" fillId="16" borderId="30" xfId="0" applyFont="1" applyFill="1" applyBorder="1" applyAlignment="1">
      <alignment horizontal="center" vertical="center"/>
    </xf>
    <xf numFmtId="14" fontId="16" fillId="16" borderId="1" xfId="0" applyNumberFormat="1" applyFont="1" applyFill="1" applyBorder="1" applyAlignment="1">
      <alignment vertical="center"/>
    </xf>
    <xf numFmtId="167" fontId="14" fillId="16" borderId="2" xfId="0" applyNumberFormat="1" applyFont="1" applyFill="1" applyBorder="1" applyAlignment="1">
      <alignment horizontal="center" vertical="center"/>
    </xf>
    <xf numFmtId="0" fontId="11" fillId="15" borderId="1" xfId="0" applyFont="1" applyFill="1" applyBorder="1"/>
    <xf numFmtId="0" fontId="15" fillId="16" borderId="1" xfId="0" applyFont="1" applyFill="1" applyBorder="1" applyAlignment="1">
      <alignment vertical="center"/>
    </xf>
    <xf numFmtId="0" fontId="14" fillId="16" borderId="31" xfId="0" applyFont="1" applyFill="1" applyBorder="1" applyAlignment="1">
      <alignment horizontal="center" vertical="center"/>
    </xf>
    <xf numFmtId="0" fontId="10" fillId="16" borderId="37" xfId="0" applyFont="1" applyFill="1" applyBorder="1" applyAlignment="1">
      <alignment vertical="center"/>
    </xf>
    <xf numFmtId="0" fontId="10" fillId="16" borderId="38" xfId="0" applyFont="1" applyFill="1" applyBorder="1" applyAlignment="1">
      <alignment vertical="center"/>
    </xf>
    <xf numFmtId="0" fontId="0" fillId="15" borderId="38" xfId="0" applyFill="1" applyBorder="1"/>
    <xf numFmtId="0" fontId="10" fillId="16" borderId="39" xfId="0" applyFont="1" applyFill="1" applyBorder="1" applyAlignment="1">
      <alignment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22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/>
    </xf>
    <xf numFmtId="0" fontId="14" fillId="16" borderId="15" xfId="0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0" fontId="14" fillId="16" borderId="23" xfId="0" applyFont="1" applyFill="1" applyBorder="1" applyAlignment="1">
      <alignment horizontal="center" vertical="center"/>
    </xf>
    <xf numFmtId="0" fontId="59" fillId="15" borderId="0" xfId="0" applyFont="1" applyFill="1"/>
    <xf numFmtId="0" fontId="60" fillId="15" borderId="0" xfId="0" applyFont="1" applyFill="1" applyAlignment="1">
      <alignment vertical="center"/>
    </xf>
    <xf numFmtId="0" fontId="61" fillId="15" borderId="0" xfId="0" applyFont="1" applyFill="1" applyAlignment="1">
      <alignment vertical="center"/>
    </xf>
    <xf numFmtId="0" fontId="62" fillId="15" borderId="0" xfId="0" applyFont="1" applyFill="1" applyAlignment="1">
      <alignment vertical="center"/>
    </xf>
    <xf numFmtId="14" fontId="62" fillId="15" borderId="0" xfId="0" applyNumberFormat="1" applyFont="1" applyFill="1" applyAlignment="1">
      <alignment vertical="center"/>
    </xf>
    <xf numFmtId="0" fontId="10" fillId="15" borderId="0" xfId="0" applyFont="1" applyFill="1" applyAlignment="1">
      <alignment vertical="center" wrapText="1"/>
    </xf>
    <xf numFmtId="0" fontId="10" fillId="15" borderId="0" xfId="0" applyFont="1" applyFill="1" applyAlignment="1">
      <alignment vertical="center"/>
    </xf>
    <xf numFmtId="0" fontId="49" fillId="15" borderId="0" xfId="0" applyFont="1" applyFill="1" applyAlignment="1">
      <alignment vertical="center"/>
    </xf>
    <xf numFmtId="0" fontId="16" fillId="15" borderId="0" xfId="0" applyFont="1" applyFill="1" applyAlignment="1">
      <alignment vertical="center"/>
    </xf>
    <xf numFmtId="193" fontId="62" fillId="0" borderId="25" xfId="0" applyNumberFormat="1" applyFont="1" applyBorder="1" applyAlignment="1">
      <alignment vertical="center"/>
    </xf>
    <xf numFmtId="174" fontId="60" fillId="12" borderId="15" xfId="0" applyNumberFormat="1" applyFont="1" applyFill="1" applyBorder="1" applyAlignment="1">
      <alignment vertical="center"/>
    </xf>
    <xf numFmtId="180" fontId="66" fillId="12" borderId="15" xfId="0" applyNumberFormat="1" applyFont="1" applyFill="1" applyBorder="1"/>
    <xf numFmtId="185" fontId="3" fillId="0" borderId="1" xfId="1" applyNumberFormat="1"/>
    <xf numFmtId="0" fontId="0" fillId="0" borderId="46" xfId="0" applyBorder="1"/>
    <xf numFmtId="190" fontId="25" fillId="0" borderId="46" xfId="2" applyNumberFormat="1" applyFont="1" applyBorder="1" applyAlignment="1">
      <alignment horizontal="right" vertical="top" wrapText="1"/>
    </xf>
    <xf numFmtId="192" fontId="40" fillId="0" borderId="42" xfId="2" applyNumberFormat="1" applyFont="1" applyBorder="1" applyAlignment="1">
      <alignment horizontal="right" vertical="top" wrapText="1"/>
    </xf>
    <xf numFmtId="0" fontId="2" fillId="0" borderId="1" xfId="1" applyFont="1"/>
    <xf numFmtId="181" fontId="71" fillId="19" borderId="30" xfId="0" applyNumberFormat="1" applyFont="1" applyFill="1" applyBorder="1" applyAlignment="1">
      <alignment horizontal="center" vertical="center"/>
    </xf>
    <xf numFmtId="181" fontId="71" fillId="19" borderId="25" xfId="0" applyNumberFormat="1" applyFont="1" applyFill="1" applyBorder="1" applyAlignment="1">
      <alignment horizontal="center" vertical="center"/>
    </xf>
    <xf numFmtId="10" fontId="71" fillId="19" borderId="30" xfId="0" applyNumberFormat="1" applyFont="1" applyFill="1" applyBorder="1" applyAlignment="1">
      <alignment horizontal="center" vertical="center"/>
    </xf>
    <xf numFmtId="183" fontId="71" fillId="19" borderId="30" xfId="0" applyNumberFormat="1" applyFont="1" applyFill="1" applyBorder="1" applyAlignment="1">
      <alignment horizontal="center" vertical="center"/>
    </xf>
    <xf numFmtId="165" fontId="72" fillId="19" borderId="20" xfId="0" applyNumberFormat="1" applyFont="1" applyFill="1" applyBorder="1" applyAlignment="1">
      <alignment vertical="center"/>
    </xf>
    <xf numFmtId="165" fontId="72" fillId="18" borderId="30" xfId="0" applyNumberFormat="1" applyFont="1" applyFill="1" applyBorder="1" applyAlignment="1">
      <alignment horizontal="center" vertical="center"/>
    </xf>
    <xf numFmtId="184" fontId="58" fillId="0" borderId="48" xfId="0" applyNumberFormat="1" applyFont="1" applyBorder="1"/>
    <xf numFmtId="4" fontId="58" fillId="0" borderId="48" xfId="0" applyNumberFormat="1" applyFont="1" applyBorder="1"/>
    <xf numFmtId="4" fontId="58" fillId="0" borderId="48" xfId="0" applyNumberFormat="1" applyFont="1" applyBorder="1" applyAlignment="1">
      <alignment horizontal="center"/>
    </xf>
    <xf numFmtId="4" fontId="58" fillId="0" borderId="47" xfId="0" applyNumberFormat="1" applyFont="1" applyBorder="1"/>
    <xf numFmtId="0" fontId="57" fillId="19" borderId="24" xfId="0" applyFont="1" applyFill="1" applyBorder="1" applyAlignment="1">
      <alignment horizontal="left" vertical="center"/>
    </xf>
    <xf numFmtId="0" fontId="57" fillId="19" borderId="30" xfId="0" applyFont="1" applyFill="1" applyBorder="1" applyAlignment="1">
      <alignment horizontal="center" vertical="center"/>
    </xf>
    <xf numFmtId="0" fontId="57" fillId="19" borderId="25" xfId="0" applyFont="1" applyFill="1" applyBorder="1" applyAlignment="1">
      <alignment horizontal="center" vertical="center"/>
    </xf>
    <xf numFmtId="0" fontId="57" fillId="20" borderId="24" xfId="0" applyFont="1" applyFill="1" applyBorder="1" applyAlignment="1">
      <alignment vertical="center"/>
    </xf>
    <xf numFmtId="0" fontId="57" fillId="20" borderId="30" xfId="0" applyFont="1" applyFill="1" applyBorder="1" applyAlignment="1">
      <alignment vertical="center"/>
    </xf>
    <xf numFmtId="0" fontId="57" fillId="20" borderId="25" xfId="0" applyFont="1" applyFill="1" applyBorder="1"/>
    <xf numFmtId="10" fontId="57" fillId="20" borderId="25" xfId="0" applyNumberFormat="1" applyFont="1" applyFill="1" applyBorder="1"/>
    <xf numFmtId="11" fontId="57" fillId="20" borderId="24" xfId="0" applyNumberFormat="1" applyFont="1" applyFill="1" applyBorder="1" applyAlignment="1">
      <alignment vertical="center"/>
    </xf>
    <xf numFmtId="11" fontId="57" fillId="20" borderId="30" xfId="0" applyNumberFormat="1" applyFont="1" applyFill="1" applyBorder="1" applyAlignment="1">
      <alignment vertical="center"/>
    </xf>
    <xf numFmtId="10" fontId="57" fillId="20" borderId="30" xfId="0" applyNumberFormat="1" applyFont="1" applyFill="1" applyBorder="1"/>
    <xf numFmtId="0" fontId="19" fillId="15" borderId="0" xfId="0" applyFont="1" applyFill="1" applyAlignment="1">
      <alignment vertical="center"/>
    </xf>
    <xf numFmtId="0" fontId="33" fillId="15" borderId="0" xfId="0" applyFont="1" applyFill="1" applyAlignment="1">
      <alignment vertical="center"/>
    </xf>
    <xf numFmtId="0" fontId="38" fillId="15" borderId="0" xfId="0" applyFont="1" applyFill="1" applyAlignment="1">
      <alignment vertical="center"/>
    </xf>
    <xf numFmtId="171" fontId="33" fillId="15" borderId="0" xfId="0" applyNumberFormat="1" applyFont="1" applyFill="1" applyAlignment="1">
      <alignment horizontal="center" vertical="center"/>
    </xf>
    <xf numFmtId="0" fontId="50" fillId="15" borderId="0" xfId="0" applyFont="1" applyFill="1" applyAlignment="1">
      <alignment vertical="center"/>
    </xf>
    <xf numFmtId="14" fontId="38" fillId="17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33" fillId="0" borderId="1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19" fillId="0" borderId="1" xfId="0" applyFont="1" applyBorder="1" applyAlignment="1">
      <alignment vertical="center"/>
    </xf>
    <xf numFmtId="0" fontId="74" fillId="19" borderId="44" xfId="0" applyFont="1" applyFill="1" applyBorder="1" applyAlignment="1">
      <alignment horizontal="center" wrapText="1"/>
    </xf>
    <xf numFmtId="0" fontId="19" fillId="19" borderId="44" xfId="0" applyFont="1" applyFill="1" applyBorder="1" applyAlignment="1">
      <alignment horizontal="center" wrapText="1"/>
    </xf>
    <xf numFmtId="0" fontId="75" fillId="19" borderId="44" xfId="0" applyFont="1" applyFill="1" applyBorder="1" applyAlignment="1">
      <alignment horizontal="center" wrapText="1"/>
    </xf>
    <xf numFmtId="0" fontId="74" fillId="19" borderId="53" xfId="0" applyFont="1" applyFill="1" applyBorder="1" applyAlignment="1">
      <alignment horizontal="center" wrapText="1"/>
    </xf>
    <xf numFmtId="0" fontId="75" fillId="19" borderId="49" xfId="0" applyFont="1" applyFill="1" applyBorder="1" applyAlignment="1">
      <alignment horizontal="center" wrapText="1"/>
    </xf>
    <xf numFmtId="0" fontId="74" fillId="18" borderId="0" xfId="0" applyFont="1" applyFill="1" applyAlignment="1">
      <alignment horizontal="center" wrapText="1"/>
    </xf>
    <xf numFmtId="0" fontId="75" fillId="19" borderId="0" xfId="0" applyFont="1" applyFill="1" applyAlignment="1">
      <alignment horizontal="center" wrapText="1"/>
    </xf>
    <xf numFmtId="0" fontId="74" fillId="19" borderId="48" xfId="0" applyFont="1" applyFill="1" applyBorder="1" applyAlignment="1">
      <alignment horizontal="center" wrapText="1"/>
    </xf>
    <xf numFmtId="0" fontId="19" fillId="0" borderId="18" xfId="0" applyFont="1" applyBorder="1" applyAlignment="1">
      <alignment vertical="center"/>
    </xf>
    <xf numFmtId="0" fontId="74" fillId="18" borderId="49" xfId="0" applyFont="1" applyFill="1" applyBorder="1" applyAlignment="1">
      <alignment horizontal="left" vertical="top" wrapText="1"/>
    </xf>
    <xf numFmtId="195" fontId="40" fillId="0" borderId="44" xfId="0" applyNumberFormat="1" applyFont="1" applyBorder="1" applyAlignment="1">
      <alignment horizontal="center" vertical="center" wrapText="1"/>
    </xf>
    <xf numFmtId="196" fontId="40" fillId="0" borderId="44" xfId="0" applyNumberFormat="1" applyFont="1" applyBorder="1" applyAlignment="1">
      <alignment horizontal="center" vertical="center" wrapText="1"/>
    </xf>
    <xf numFmtId="176" fontId="33" fillId="0" borderId="44" xfId="0" applyNumberFormat="1" applyFont="1" applyBorder="1" applyAlignment="1">
      <alignment horizontal="center" vertical="center"/>
    </xf>
    <xf numFmtId="176" fontId="33" fillId="2" borderId="44" xfId="0" applyNumberFormat="1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 wrapText="1"/>
    </xf>
    <xf numFmtId="0" fontId="33" fillId="2" borderId="1" xfId="0" applyFont="1" applyFill="1" applyBorder="1" applyAlignment="1">
      <alignment vertical="center"/>
    </xf>
    <xf numFmtId="195" fontId="40" fillId="0" borderId="1" xfId="0" applyNumberFormat="1" applyFont="1" applyBorder="1" applyAlignment="1">
      <alignment horizontal="center" vertical="center" wrapText="1"/>
    </xf>
    <xf numFmtId="196" fontId="40" fillId="0" borderId="1" xfId="0" applyNumberFormat="1" applyFont="1" applyBorder="1" applyAlignment="1">
      <alignment horizontal="center" vertical="center" wrapText="1"/>
    </xf>
    <xf numFmtId="176" fontId="33" fillId="0" borderId="1" xfId="0" applyNumberFormat="1" applyFont="1" applyBorder="1" applyAlignment="1">
      <alignment horizontal="center" vertical="center"/>
    </xf>
    <xf numFmtId="176" fontId="33" fillId="2" borderId="1" xfId="0" applyNumberFormat="1" applyFont="1" applyFill="1" applyBorder="1" applyAlignment="1">
      <alignment horizontal="center" vertical="center"/>
    </xf>
    <xf numFmtId="197" fontId="32" fillId="0" borderId="48" xfId="0" applyNumberFormat="1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74" fillId="18" borderId="50" xfId="0" applyFont="1" applyFill="1" applyBorder="1" applyAlignment="1">
      <alignment horizontal="left" vertical="top" wrapText="1"/>
    </xf>
    <xf numFmtId="195" fontId="40" fillId="0" borderId="42" xfId="0" applyNumberFormat="1" applyFont="1" applyBorder="1" applyAlignment="1">
      <alignment horizontal="center" vertical="center" wrapText="1"/>
    </xf>
    <xf numFmtId="196" fontId="40" fillId="0" borderId="42" xfId="0" applyNumberFormat="1" applyFont="1" applyBorder="1" applyAlignment="1">
      <alignment horizontal="center" vertical="center" wrapText="1"/>
    </xf>
    <xf numFmtId="176" fontId="33" fillId="0" borderId="42" xfId="0" applyNumberFormat="1" applyFont="1" applyBorder="1" applyAlignment="1">
      <alignment horizontal="center" vertical="center"/>
    </xf>
    <xf numFmtId="176" fontId="33" fillId="2" borderId="42" xfId="0" applyNumberFormat="1" applyFont="1" applyFill="1" applyBorder="1" applyAlignment="1">
      <alignment horizontal="center" vertical="center"/>
    </xf>
    <xf numFmtId="197" fontId="32" fillId="0" borderId="51" xfId="0" applyNumberFormat="1" applyFont="1" applyBorder="1" applyAlignment="1">
      <alignment horizontal="center" vertical="center" wrapText="1"/>
    </xf>
    <xf numFmtId="171" fontId="32" fillId="2" borderId="1" xfId="0" applyNumberFormat="1" applyFont="1" applyFill="1" applyBorder="1" applyAlignment="1">
      <alignment horizontal="center" vertical="center"/>
    </xf>
    <xf numFmtId="177" fontId="33" fillId="2" borderId="1" xfId="0" applyNumberFormat="1" applyFont="1" applyFill="1" applyBorder="1" applyAlignment="1">
      <alignment horizontal="center" vertical="center"/>
    </xf>
    <xf numFmtId="178" fontId="33" fillId="2" borderId="1" xfId="0" applyNumberFormat="1" applyFont="1" applyFill="1" applyBorder="1" applyAlignment="1">
      <alignment horizontal="center" vertical="center"/>
    </xf>
    <xf numFmtId="179" fontId="33" fillId="2" borderId="1" xfId="0" applyNumberFormat="1" applyFont="1" applyFill="1" applyBorder="1" applyAlignment="1">
      <alignment horizontal="center" vertical="center"/>
    </xf>
    <xf numFmtId="0" fontId="74" fillId="19" borderId="54" xfId="0" applyFont="1" applyFill="1" applyBorder="1" applyAlignment="1">
      <alignment horizontal="center" vertical="center"/>
    </xf>
    <xf numFmtId="195" fontId="25" fillId="0" borderId="55" xfId="0" applyNumberFormat="1" applyFont="1" applyBorder="1" applyAlignment="1">
      <alignment horizontal="center" vertical="center" wrapText="1"/>
    </xf>
    <xf numFmtId="196" fontId="25" fillId="0" borderId="55" xfId="0" applyNumberFormat="1" applyFont="1" applyBorder="1" applyAlignment="1">
      <alignment horizontal="center" vertical="center" wrapText="1"/>
    </xf>
    <xf numFmtId="176" fontId="38" fillId="0" borderId="55" xfId="0" applyNumberFormat="1" applyFont="1" applyBorder="1" applyAlignment="1">
      <alignment horizontal="center" vertical="center"/>
    </xf>
    <xf numFmtId="176" fontId="38" fillId="2" borderId="55" xfId="0" applyNumberFormat="1" applyFont="1" applyFill="1" applyBorder="1" applyAlignment="1">
      <alignment horizontal="center" vertical="center"/>
    </xf>
    <xf numFmtId="197" fontId="25" fillId="0" borderId="56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2" borderId="20" xfId="0" applyFont="1" applyFill="1" applyBorder="1" applyAlignment="1">
      <alignment vertical="center"/>
    </xf>
    <xf numFmtId="165" fontId="33" fillId="2" borderId="19" xfId="0" applyNumberFormat="1" applyFont="1" applyFill="1" applyBorder="1" applyAlignment="1">
      <alignment horizontal="center" vertical="center"/>
    </xf>
    <xf numFmtId="178" fontId="33" fillId="2" borderId="19" xfId="0" applyNumberFormat="1" applyFont="1" applyFill="1" applyBorder="1" applyAlignment="1">
      <alignment horizontal="center" vertical="center"/>
    </xf>
    <xf numFmtId="179" fontId="33" fillId="2" borderId="19" xfId="0" applyNumberFormat="1" applyFont="1" applyFill="1" applyBorder="1" applyAlignment="1">
      <alignment horizontal="center" vertical="center"/>
    </xf>
    <xf numFmtId="179" fontId="33" fillId="2" borderId="57" xfId="0" applyNumberFormat="1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vertical="center"/>
    </xf>
    <xf numFmtId="165" fontId="33" fillId="2" borderId="0" xfId="0" applyNumberFormat="1" applyFont="1" applyFill="1" applyAlignment="1">
      <alignment horizontal="center" vertical="center"/>
    </xf>
    <xf numFmtId="165" fontId="33" fillId="2" borderId="1" xfId="0" applyNumberFormat="1" applyFont="1" applyFill="1" applyBorder="1" applyAlignment="1">
      <alignment horizontal="center" vertical="center"/>
    </xf>
    <xf numFmtId="179" fontId="33" fillId="2" borderId="48" xfId="0" applyNumberFormat="1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vertical="center"/>
    </xf>
    <xf numFmtId="165" fontId="33" fillId="2" borderId="17" xfId="0" applyNumberFormat="1" applyFont="1" applyFill="1" applyBorder="1" applyAlignment="1">
      <alignment horizontal="center" vertical="center"/>
    </xf>
    <xf numFmtId="178" fontId="33" fillId="2" borderId="17" xfId="0" applyNumberFormat="1" applyFont="1" applyFill="1" applyBorder="1" applyAlignment="1">
      <alignment horizontal="center" vertical="center"/>
    </xf>
    <xf numFmtId="179" fontId="33" fillId="2" borderId="17" xfId="0" applyNumberFormat="1" applyFont="1" applyFill="1" applyBorder="1" applyAlignment="1">
      <alignment horizontal="center" vertical="center"/>
    </xf>
    <xf numFmtId="179" fontId="33" fillId="2" borderId="51" xfId="0" applyNumberFormat="1" applyFont="1" applyFill="1" applyBorder="1" applyAlignment="1">
      <alignment horizontal="center" vertical="center"/>
    </xf>
    <xf numFmtId="167" fontId="33" fillId="2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76" fillId="20" borderId="30" xfId="0" applyFont="1" applyFill="1" applyBorder="1" applyAlignment="1">
      <alignment vertical="center"/>
    </xf>
    <xf numFmtId="174" fontId="76" fillId="20" borderId="30" xfId="0" applyNumberFormat="1" applyFont="1" applyFill="1" applyBorder="1" applyAlignment="1">
      <alignment vertical="center"/>
    </xf>
    <xf numFmtId="194" fontId="76" fillId="20" borderId="30" xfId="0" applyNumberFormat="1" applyFont="1" applyFill="1" applyBorder="1" applyAlignment="1">
      <alignment vertical="center"/>
    </xf>
    <xf numFmtId="0" fontId="76" fillId="20" borderId="17" xfId="0" applyFont="1" applyFill="1" applyBorder="1" applyAlignment="1">
      <alignment vertical="center"/>
    </xf>
    <xf numFmtId="0" fontId="76" fillId="19" borderId="24" xfId="0" applyFont="1" applyFill="1" applyBorder="1" applyAlignment="1">
      <alignment vertical="center"/>
    </xf>
    <xf numFmtId="0" fontId="76" fillId="19" borderId="30" xfId="0" applyFont="1" applyFill="1" applyBorder="1" applyAlignment="1">
      <alignment vertical="center"/>
    </xf>
    <xf numFmtId="0" fontId="76" fillId="19" borderId="30" xfId="0" applyFont="1" applyFill="1" applyBorder="1" applyAlignment="1">
      <alignment horizontal="right" vertical="center"/>
    </xf>
    <xf numFmtId="173" fontId="76" fillId="19" borderId="30" xfId="0" applyNumberFormat="1" applyFont="1" applyFill="1" applyBorder="1" applyAlignment="1">
      <alignment vertical="center"/>
    </xf>
    <xf numFmtId="173" fontId="76" fillId="19" borderId="25" xfId="0" applyNumberFormat="1" applyFont="1" applyFill="1" applyBorder="1" applyAlignment="1">
      <alignment vertical="center"/>
    </xf>
    <xf numFmtId="0" fontId="0" fillId="0" borderId="1" xfId="1" applyFont="1"/>
    <xf numFmtId="0" fontId="23" fillId="8" borderId="1" xfId="3" applyFont="1" applyFill="1"/>
    <xf numFmtId="39" fontId="47" fillId="8" borderId="1" xfId="3" applyNumberFormat="1" applyFont="1" applyFill="1"/>
    <xf numFmtId="39" fontId="0" fillId="8" borderId="1" xfId="1" applyNumberFormat="1" applyFont="1" applyFill="1"/>
    <xf numFmtId="0" fontId="23" fillId="0" borderId="1" xfId="3" applyFont="1"/>
    <xf numFmtId="39" fontId="47" fillId="0" borderId="1" xfId="3" applyNumberFormat="1" applyFont="1"/>
    <xf numFmtId="39" fontId="23" fillId="0" borderId="1" xfId="3" applyNumberFormat="1" applyFont="1"/>
    <xf numFmtId="39" fontId="0" fillId="0" borderId="1" xfId="1" applyNumberFormat="1" applyFont="1"/>
    <xf numFmtId="166" fontId="3" fillId="0" borderId="1" xfId="1" applyNumberFormat="1"/>
    <xf numFmtId="185" fontId="25" fillId="0" borderId="44" xfId="1" applyNumberFormat="1" applyFont="1" applyBorder="1" applyAlignment="1">
      <alignment horizontal="right" vertical="top" wrapText="1"/>
    </xf>
    <xf numFmtId="174" fontId="67" fillId="0" borderId="0" xfId="0" applyNumberFormat="1" applyFont="1" applyAlignment="1">
      <alignment vertical="center"/>
    </xf>
    <xf numFmtId="0" fontId="20" fillId="0" borderId="1" xfId="1" applyFont="1" applyAlignment="1">
      <alignment horizontal="left" indent="1"/>
    </xf>
    <xf numFmtId="39" fontId="29" fillId="0" borderId="1" xfId="1" applyNumberFormat="1" applyFont="1" applyAlignment="1">
      <alignment horizontal="right"/>
    </xf>
    <xf numFmtId="39" fontId="39" fillId="0" borderId="1" xfId="1" applyNumberFormat="1" applyFont="1" applyAlignment="1">
      <alignment horizontal="right"/>
    </xf>
    <xf numFmtId="39" fontId="39" fillId="0" borderId="1" xfId="2" applyNumberFormat="1" applyFont="1"/>
    <xf numFmtId="191" fontId="32" fillId="0" borderId="1" xfId="5" applyNumberFormat="1" applyFont="1" applyFill="1" applyAlignment="1">
      <alignment horizontal="right"/>
    </xf>
    <xf numFmtId="170" fontId="52" fillId="21" borderId="1" xfId="0" applyNumberFormat="1" applyFont="1" applyFill="1" applyBorder="1"/>
    <xf numFmtId="0" fontId="60" fillId="22" borderId="0" xfId="0" applyFont="1" applyFill="1" applyAlignment="1">
      <alignment vertical="center"/>
    </xf>
    <xf numFmtId="167" fontId="52" fillId="21" borderId="1" xfId="0" applyNumberFormat="1" applyFont="1" applyFill="1" applyBorder="1"/>
    <xf numFmtId="191" fontId="30" fillId="0" borderId="1" xfId="5" applyNumberFormat="1" applyFont="1" applyFill="1" applyAlignment="1">
      <alignment horizontal="right"/>
    </xf>
    <xf numFmtId="9" fontId="54" fillId="21" borderId="2" xfId="0" applyNumberFormat="1" applyFont="1" applyFill="1" applyBorder="1"/>
    <xf numFmtId="9" fontId="60" fillId="0" borderId="0" xfId="8" applyFont="1" applyAlignment="1">
      <alignment vertical="center"/>
    </xf>
    <xf numFmtId="2" fontId="30" fillId="0" borderId="1" xfId="5" applyNumberFormat="1" applyFont="1" applyFill="1" applyAlignment="1">
      <alignment horizontal="right"/>
    </xf>
    <xf numFmtId="10" fontId="52" fillId="21" borderId="1" xfId="0" applyNumberFormat="1" applyFont="1" applyFill="1" applyBorder="1"/>
    <xf numFmtId="192" fontId="47" fillId="0" borderId="1" xfId="2" applyNumberFormat="1" applyFont="1"/>
    <xf numFmtId="175" fontId="60" fillId="0" borderId="2" xfId="0" applyNumberFormat="1" applyFont="1" applyBorder="1" applyAlignment="1">
      <alignment horizontal="center" vertical="center"/>
    </xf>
    <xf numFmtId="0" fontId="2" fillId="0" borderId="0" xfId="0" applyFont="1"/>
    <xf numFmtId="190" fontId="38" fillId="0" borderId="1" xfId="2" applyNumberFormat="1" applyFont="1" applyAlignment="1">
      <alignment horizontal="right" vertical="top" wrapText="1"/>
    </xf>
    <xf numFmtId="0" fontId="51" fillId="10" borderId="32" xfId="0" applyFont="1" applyFill="1" applyBorder="1" applyAlignment="1">
      <alignment horizontal="left"/>
    </xf>
    <xf numFmtId="0" fontId="19" fillId="10" borderId="33" xfId="0" applyFont="1" applyFill="1" applyBorder="1"/>
    <xf numFmtId="168" fontId="51" fillId="10" borderId="33" xfId="0" applyNumberFormat="1" applyFont="1" applyFill="1" applyBorder="1"/>
    <xf numFmtId="168" fontId="51" fillId="10" borderId="34" xfId="0" applyNumberFormat="1" applyFont="1" applyFill="1" applyBorder="1"/>
    <xf numFmtId="0" fontId="52" fillId="0" borderId="37" xfId="0" applyFont="1" applyBorder="1" applyAlignment="1">
      <alignment horizontal="left"/>
    </xf>
    <xf numFmtId="169" fontId="53" fillId="0" borderId="38" xfId="0" applyNumberFormat="1" applyFont="1" applyBorder="1"/>
    <xf numFmtId="170" fontId="52" fillId="2" borderId="38" xfId="0" applyNumberFormat="1" applyFont="1" applyFill="1" applyBorder="1"/>
    <xf numFmtId="170" fontId="52" fillId="2" borderId="39" xfId="0" applyNumberFormat="1" applyFont="1" applyFill="1" applyBorder="1"/>
    <xf numFmtId="10" fontId="55" fillId="3" borderId="1" xfId="0" applyNumberFormat="1" applyFont="1" applyFill="1" applyBorder="1" applyAlignment="1">
      <alignment horizontal="right"/>
    </xf>
    <xf numFmtId="1" fontId="29" fillId="11" borderId="58" xfId="0" applyNumberFormat="1" applyFont="1" applyFill="1" applyBorder="1" applyAlignment="1">
      <alignment horizontal="right"/>
    </xf>
    <xf numFmtId="3" fontId="29" fillId="11" borderId="58" xfId="0" applyNumberFormat="1" applyFont="1" applyFill="1" applyBorder="1" applyAlignment="1">
      <alignment horizontal="right"/>
    </xf>
    <xf numFmtId="1" fontId="51" fillId="10" borderId="33" xfId="0" applyNumberFormat="1" applyFont="1" applyFill="1" applyBorder="1"/>
    <xf numFmtId="1" fontId="51" fillId="10" borderId="34" xfId="0" applyNumberFormat="1" applyFont="1" applyFill="1" applyBorder="1"/>
    <xf numFmtId="0" fontId="52" fillId="0" borderId="35" xfId="0" applyFont="1" applyBorder="1" applyAlignment="1">
      <alignment horizontal="left"/>
    </xf>
    <xf numFmtId="169" fontId="53" fillId="0" borderId="1" xfId="0" applyNumberFormat="1" applyFont="1" applyBorder="1"/>
    <xf numFmtId="170" fontId="52" fillId="2" borderId="36" xfId="0" applyNumberFormat="1" applyFont="1" applyFill="1" applyBorder="1"/>
    <xf numFmtId="0" fontId="11" fillId="0" borderId="35" xfId="0" applyFont="1" applyBorder="1" applyAlignment="1">
      <alignment horizontal="left"/>
    </xf>
    <xf numFmtId="0" fontId="52" fillId="0" borderId="1" xfId="0" applyFont="1" applyBorder="1"/>
    <xf numFmtId="0" fontId="11" fillId="0" borderId="1" xfId="0" applyFont="1" applyBorder="1"/>
    <xf numFmtId="0" fontId="11" fillId="0" borderId="37" xfId="0" applyFont="1" applyBorder="1" applyAlignment="1">
      <alignment horizontal="left"/>
    </xf>
    <xf numFmtId="0" fontId="11" fillId="0" borderId="38" xfId="0" applyFont="1" applyBorder="1"/>
    <xf numFmtId="170" fontId="54" fillId="2" borderId="38" xfId="0" applyNumberFormat="1" applyFont="1" applyFill="1" applyBorder="1"/>
    <xf numFmtId="10" fontId="55" fillId="3" borderId="38" xfId="0" applyNumberFormat="1" applyFont="1" applyFill="1" applyBorder="1" applyAlignment="1">
      <alignment horizontal="right"/>
    </xf>
    <xf numFmtId="10" fontId="55" fillId="3" borderId="60" xfId="0" applyNumberFormat="1" applyFont="1" applyFill="1" applyBorder="1" applyAlignment="1">
      <alignment horizontal="right"/>
    </xf>
    <xf numFmtId="10" fontId="55" fillId="3" borderId="59" xfId="0" applyNumberFormat="1" applyFont="1" applyFill="1" applyBorder="1" applyAlignment="1">
      <alignment horizontal="right"/>
    </xf>
    <xf numFmtId="167" fontId="78" fillId="10" borderId="8" xfId="0" applyNumberFormat="1" applyFont="1" applyFill="1" applyBorder="1"/>
    <xf numFmtId="169" fontId="78" fillId="10" borderId="8" xfId="0" applyNumberFormat="1" applyFont="1" applyFill="1" applyBorder="1"/>
    <xf numFmtId="10" fontId="14" fillId="16" borderId="61" xfId="0" applyNumberFormat="1" applyFont="1" applyFill="1" applyBorder="1" applyAlignment="1">
      <alignment horizontal="center" vertical="center"/>
    </xf>
    <xf numFmtId="167" fontId="10" fillId="16" borderId="54" xfId="0" applyNumberFormat="1" applyFont="1" applyFill="1" applyBorder="1" applyAlignment="1">
      <alignment horizontal="center" vertical="center"/>
    </xf>
    <xf numFmtId="183" fontId="71" fillId="19" borderId="4" xfId="0" applyNumberFormat="1" applyFont="1" applyFill="1" applyBorder="1" applyAlignment="1">
      <alignment vertical="center"/>
    </xf>
    <xf numFmtId="1" fontId="60" fillId="2" borderId="20" xfId="0" applyNumberFormat="1" applyFont="1" applyFill="1" applyBorder="1" applyAlignment="1">
      <alignment horizontal="center" vertical="center"/>
    </xf>
    <xf numFmtId="1" fontId="60" fillId="2" borderId="19" xfId="0" applyNumberFormat="1" applyFont="1" applyFill="1" applyBorder="1" applyAlignment="1">
      <alignment horizontal="center" vertical="center"/>
    </xf>
    <xf numFmtId="1" fontId="60" fillId="2" borderId="22" xfId="0" applyNumberFormat="1" applyFont="1" applyFill="1" applyBorder="1" applyAlignment="1">
      <alignment horizontal="center" vertical="center"/>
    </xf>
    <xf numFmtId="1" fontId="60" fillId="2" borderId="18" xfId="0" applyNumberFormat="1" applyFont="1" applyFill="1" applyBorder="1" applyAlignment="1">
      <alignment horizontal="center" vertical="center"/>
    </xf>
    <xf numFmtId="1" fontId="60" fillId="2" borderId="15" xfId="0" applyNumberFormat="1" applyFont="1" applyFill="1" applyBorder="1" applyAlignment="1">
      <alignment horizontal="center" vertical="center"/>
    </xf>
    <xf numFmtId="1" fontId="71" fillId="20" borderId="2" xfId="0" applyNumberFormat="1" applyFont="1" applyFill="1" applyBorder="1" applyAlignment="1">
      <alignment horizontal="center" vertical="center"/>
    </xf>
    <xf numFmtId="1" fontId="60" fillId="2" borderId="21" xfId="0" applyNumberFormat="1" applyFont="1" applyFill="1" applyBorder="1" applyAlignment="1">
      <alignment horizontal="center" vertical="center"/>
    </xf>
    <xf numFmtId="1" fontId="60" fillId="2" borderId="17" xfId="0" applyNumberFormat="1" applyFont="1" applyFill="1" applyBorder="1" applyAlignment="1">
      <alignment horizontal="center" vertical="center"/>
    </xf>
    <xf numFmtId="1" fontId="60" fillId="2" borderId="23" xfId="0" applyNumberFormat="1" applyFont="1" applyFill="1" applyBorder="1" applyAlignment="1">
      <alignment horizontal="center" vertical="center"/>
    </xf>
    <xf numFmtId="1" fontId="60" fillId="2" borderId="1" xfId="0" applyNumberFormat="1" applyFont="1" applyFill="1" applyBorder="1" applyAlignment="1">
      <alignment horizontal="center" vertical="center"/>
    </xf>
    <xf numFmtId="1" fontId="71" fillId="24" borderId="20" xfId="0" applyNumberFormat="1" applyFont="1" applyFill="1" applyBorder="1" applyAlignment="1">
      <alignment horizontal="center" vertical="center"/>
    </xf>
    <xf numFmtId="1" fontId="71" fillId="24" borderId="18" xfId="0" applyNumberFormat="1" applyFont="1" applyFill="1" applyBorder="1" applyAlignment="1">
      <alignment horizontal="center" vertical="center"/>
    </xf>
    <xf numFmtId="1" fontId="71" fillId="24" borderId="21" xfId="0" applyNumberFormat="1" applyFont="1" applyFill="1" applyBorder="1" applyAlignment="1">
      <alignment horizontal="center" vertical="center"/>
    </xf>
    <xf numFmtId="1" fontId="71" fillId="24" borderId="19" xfId="0" applyNumberFormat="1" applyFont="1" applyFill="1" applyBorder="1" applyAlignment="1">
      <alignment horizontal="center" vertical="center"/>
    </xf>
    <xf numFmtId="1" fontId="71" fillId="24" borderId="22" xfId="0" applyNumberFormat="1" applyFont="1" applyFill="1" applyBorder="1" applyAlignment="1">
      <alignment horizontal="center" vertical="center"/>
    </xf>
    <xf numFmtId="1" fontId="71" fillId="24" borderId="15" xfId="0" applyNumberFormat="1" applyFont="1" applyFill="1" applyBorder="1" applyAlignment="1">
      <alignment horizontal="center" vertical="center"/>
    </xf>
    <xf numFmtId="1" fontId="71" fillId="24" borderId="23" xfId="0" applyNumberFormat="1" applyFont="1" applyFill="1" applyBorder="1" applyAlignment="1">
      <alignment horizontal="center" vertical="center"/>
    </xf>
    <xf numFmtId="1" fontId="71" fillId="24" borderId="17" xfId="0" applyNumberFormat="1" applyFont="1" applyFill="1" applyBorder="1" applyAlignment="1">
      <alignment horizontal="center" vertical="center"/>
    </xf>
    <xf numFmtId="1" fontId="71" fillId="23" borderId="20" xfId="0" applyNumberFormat="1" applyFont="1" applyFill="1" applyBorder="1" applyAlignment="1">
      <alignment horizontal="center" vertical="center"/>
    </xf>
    <xf numFmtId="1" fontId="71" fillId="23" borderId="19" xfId="0" applyNumberFormat="1" applyFont="1" applyFill="1" applyBorder="1" applyAlignment="1">
      <alignment horizontal="center" vertical="center"/>
    </xf>
    <xf numFmtId="1" fontId="71" fillId="23" borderId="22" xfId="0" applyNumberFormat="1" applyFont="1" applyFill="1" applyBorder="1" applyAlignment="1">
      <alignment horizontal="center" vertical="center"/>
    </xf>
    <xf numFmtId="1" fontId="71" fillId="23" borderId="18" xfId="0" applyNumberFormat="1" applyFont="1" applyFill="1" applyBorder="1" applyAlignment="1">
      <alignment horizontal="center" vertical="center"/>
    </xf>
    <xf numFmtId="1" fontId="71" fillId="23" borderId="21" xfId="0" applyNumberFormat="1" applyFont="1" applyFill="1" applyBorder="1" applyAlignment="1">
      <alignment horizontal="center" vertical="center"/>
    </xf>
    <xf numFmtId="1" fontId="71" fillId="23" borderId="17" xfId="0" applyNumberFormat="1" applyFont="1" applyFill="1" applyBorder="1" applyAlignment="1">
      <alignment horizontal="center" vertical="center"/>
    </xf>
    <xf numFmtId="1" fontId="71" fillId="23" borderId="23" xfId="0" applyNumberFormat="1" applyFont="1" applyFill="1" applyBorder="1" applyAlignment="1">
      <alignment horizontal="center" vertical="center"/>
    </xf>
    <xf numFmtId="1" fontId="71" fillId="23" borderId="15" xfId="0" applyNumberFormat="1" applyFont="1" applyFill="1" applyBorder="1" applyAlignment="1">
      <alignment horizontal="center" vertical="center"/>
    </xf>
    <xf numFmtId="0" fontId="79" fillId="0" borderId="1" xfId="1" applyFont="1"/>
    <xf numFmtId="0" fontId="38" fillId="0" borderId="0" xfId="0" applyFont="1" applyAlignment="1">
      <alignment horizontal="right"/>
    </xf>
    <xf numFmtId="0" fontId="80" fillId="25" borderId="0" xfId="0" applyFont="1" applyFill="1"/>
    <xf numFmtId="0" fontId="13" fillId="0" borderId="1" xfId="0" applyFont="1" applyBorder="1"/>
    <xf numFmtId="0" fontId="83" fillId="18" borderId="52" xfId="0" applyFont="1" applyFill="1" applyBorder="1" applyAlignment="1">
      <alignment horizontal="center" vertical="center"/>
    </xf>
    <xf numFmtId="2" fontId="81" fillId="18" borderId="44" xfId="0" applyNumberFormat="1" applyFont="1" applyFill="1" applyBorder="1" applyAlignment="1">
      <alignment horizontal="center" vertical="center"/>
    </xf>
    <xf numFmtId="0" fontId="81" fillId="18" borderId="49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8" xfId="0" applyNumberFormat="1" applyFont="1" applyBorder="1" applyAlignment="1">
      <alignment horizontal="center" vertical="center"/>
    </xf>
    <xf numFmtId="0" fontId="82" fillId="18" borderId="49" xfId="0" applyFont="1" applyFill="1" applyBorder="1" applyAlignment="1">
      <alignment horizontal="center"/>
    </xf>
    <xf numFmtId="0" fontId="81" fillId="18" borderId="50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1" fontId="10" fillId="0" borderId="48" xfId="0" applyNumberFormat="1" applyFont="1" applyBorder="1" applyAlignment="1">
      <alignment horizontal="center"/>
    </xf>
    <xf numFmtId="0" fontId="81" fillId="18" borderId="62" xfId="0" applyFont="1" applyFill="1" applyBorder="1" applyAlignment="1">
      <alignment horizontal="center" vertical="center"/>
    </xf>
    <xf numFmtId="1" fontId="10" fillId="0" borderId="63" xfId="0" applyNumberFormat="1" applyFont="1" applyBorder="1" applyAlignment="1">
      <alignment horizontal="center"/>
    </xf>
    <xf numFmtId="1" fontId="10" fillId="0" borderId="64" xfId="0" applyNumberFormat="1" applyFont="1" applyBorder="1" applyAlignment="1">
      <alignment horizontal="center"/>
    </xf>
    <xf numFmtId="2" fontId="81" fillId="18" borderId="44" xfId="0" applyNumberFormat="1" applyFont="1" applyFill="1" applyBorder="1" applyAlignment="1">
      <alignment horizontal="center"/>
    </xf>
    <xf numFmtId="1" fontId="81" fillId="26" borderId="42" xfId="0" applyNumberFormat="1" applyFont="1" applyFill="1" applyBorder="1" applyAlignment="1">
      <alignment horizontal="center" vertical="center"/>
    </xf>
    <xf numFmtId="1" fontId="81" fillId="26" borderId="5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7" fontId="14" fillId="16" borderId="31" xfId="7" applyNumberFormat="1" applyFont="1" applyFill="1" applyBorder="1" applyAlignment="1">
      <alignment horizontal="center" vertical="center"/>
    </xf>
    <xf numFmtId="10" fontId="14" fillId="16" borderId="31" xfId="0" applyNumberFormat="1" applyFont="1" applyFill="1" applyBorder="1" applyAlignment="1">
      <alignment horizontal="center" vertical="center"/>
    </xf>
    <xf numFmtId="9" fontId="2" fillId="0" borderId="1" xfId="8" applyFont="1" applyBorder="1"/>
    <xf numFmtId="0" fontId="57" fillId="19" borderId="30" xfId="0" applyFont="1" applyFill="1" applyBorder="1" applyAlignment="1">
      <alignment horizontal="left" vertical="center"/>
    </xf>
    <xf numFmtId="0" fontId="57" fillId="19" borderId="25" xfId="0" applyFont="1" applyFill="1" applyBorder="1" applyAlignment="1">
      <alignment horizontal="left" vertical="center"/>
    </xf>
    <xf numFmtId="183" fontId="58" fillId="0" borderId="0" xfId="0" applyNumberFormat="1" applyFont="1" applyAlignment="1">
      <alignment horizontal="left"/>
    </xf>
    <xf numFmtId="183" fontId="58" fillId="0" borderId="15" xfId="0" applyNumberFormat="1" applyFont="1" applyBorder="1" applyAlignment="1">
      <alignment horizontal="left"/>
    </xf>
    <xf numFmtId="183" fontId="57" fillId="20" borderId="30" xfId="0" applyNumberFormat="1" applyFont="1" applyFill="1" applyBorder="1" applyAlignment="1">
      <alignment horizontal="left"/>
    </xf>
    <xf numFmtId="183" fontId="57" fillId="20" borderId="25" xfId="0" applyNumberFormat="1" applyFont="1" applyFill="1" applyBorder="1" applyAlignment="1">
      <alignment horizontal="left"/>
    </xf>
    <xf numFmtId="0" fontId="15" fillId="0" borderId="0" xfId="0" applyFont="1" applyAlignment="1">
      <alignment vertical="center"/>
    </xf>
    <xf numFmtId="0" fontId="15" fillId="0" borderId="15" xfId="0" applyFont="1" applyBorder="1"/>
    <xf numFmtId="0" fontId="1" fillId="0" borderId="0" xfId="0" applyFont="1"/>
    <xf numFmtId="0" fontId="38" fillId="0" borderId="0" xfId="0" applyFont="1" applyAlignment="1">
      <alignment horizontal="left"/>
    </xf>
    <xf numFmtId="0" fontId="85" fillId="0" borderId="0" xfId="0" applyFont="1"/>
    <xf numFmtId="10" fontId="62" fillId="0" borderId="23" xfId="0" applyNumberFormat="1" applyFont="1" applyBorder="1" applyAlignment="1">
      <alignment vertical="center"/>
    </xf>
    <xf numFmtId="0" fontId="1" fillId="0" borderId="1" xfId="9"/>
    <xf numFmtId="10" fontId="1" fillId="0" borderId="1" xfId="9" applyNumberFormat="1"/>
    <xf numFmtId="14" fontId="1" fillId="0" borderId="1" xfId="9" applyNumberFormat="1"/>
    <xf numFmtId="0" fontId="12" fillId="16" borderId="1" xfId="0" applyFont="1" applyFill="1" applyBorder="1" applyAlignment="1">
      <alignment horizontal="center" vertical="center"/>
    </xf>
    <xf numFmtId="0" fontId="13" fillId="15" borderId="1" xfId="0" applyFont="1" applyFill="1" applyBorder="1"/>
    <xf numFmtId="0" fontId="14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20" xfId="0" applyFont="1" applyFill="1" applyBorder="1" applyAlignment="1">
      <alignment horizontal="center" vertical="center"/>
    </xf>
    <xf numFmtId="0" fontId="69" fillId="15" borderId="22" xfId="0" applyFont="1" applyFill="1" applyBorder="1"/>
    <xf numFmtId="0" fontId="33" fillId="0" borderId="7" xfId="0" applyFont="1" applyBorder="1" applyAlignment="1">
      <alignment horizontal="center" wrapText="1"/>
    </xf>
    <xf numFmtId="0" fontId="13" fillId="0" borderId="8" xfId="0" applyFont="1" applyBorder="1"/>
    <xf numFmtId="0" fontId="13" fillId="0" borderId="14" xfId="0" applyFont="1" applyBorder="1"/>
    <xf numFmtId="0" fontId="13" fillId="0" borderId="6" xfId="0" applyFont="1" applyBorder="1"/>
    <xf numFmtId="0" fontId="11" fillId="0" borderId="0" xfId="0" applyFont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3" xfId="0" applyFont="1" applyBorder="1"/>
    <xf numFmtId="0" fontId="33" fillId="0" borderId="7" xfId="0" applyFont="1" applyBorder="1" applyAlignment="1">
      <alignment horizontal="center"/>
    </xf>
    <xf numFmtId="0" fontId="38" fillId="15" borderId="17" xfId="0" applyFont="1" applyFill="1" applyBorder="1" applyAlignment="1">
      <alignment horizontal="center"/>
    </xf>
    <xf numFmtId="0" fontId="13" fillId="15" borderId="17" xfId="0" applyFont="1" applyFill="1" applyBorder="1"/>
    <xf numFmtId="0" fontId="38" fillId="15" borderId="0" xfId="0" applyFont="1" applyFill="1" applyAlignment="1">
      <alignment horizontal="center"/>
    </xf>
    <xf numFmtId="0" fontId="11" fillId="15" borderId="0" xfId="0" applyFont="1" applyFill="1"/>
    <xf numFmtId="0" fontId="33" fillId="0" borderId="1" xfId="0" applyFont="1" applyBorder="1" applyAlignment="1">
      <alignment horizontal="center" wrapText="1"/>
    </xf>
    <xf numFmtId="0" fontId="13" fillId="0" borderId="1" xfId="0" applyFont="1" applyBorder="1"/>
    <xf numFmtId="0" fontId="11" fillId="0" borderId="1" xfId="0" applyFont="1" applyBorder="1"/>
    <xf numFmtId="0" fontId="3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65" fillId="0" borderId="29" xfId="0" applyFont="1" applyBorder="1" applyAlignment="1">
      <alignment horizontal="center" vertical="center"/>
    </xf>
    <xf numFmtId="0" fontId="64" fillId="0" borderId="29" xfId="0" applyFont="1" applyBorder="1"/>
    <xf numFmtId="0" fontId="65" fillId="0" borderId="15" xfId="0" applyFont="1" applyBorder="1" applyAlignment="1">
      <alignment horizontal="right" vertical="center" textRotation="90"/>
    </xf>
    <xf numFmtId="0" fontId="64" fillId="0" borderId="15" xfId="0" applyFont="1" applyBorder="1"/>
    <xf numFmtId="0" fontId="63" fillId="6" borderId="24" xfId="0" applyFont="1" applyFill="1" applyBorder="1" applyAlignment="1">
      <alignment horizontal="center" vertical="center"/>
    </xf>
    <xf numFmtId="0" fontId="64" fillId="8" borderId="30" xfId="0" applyFont="1" applyFill="1" applyBorder="1"/>
    <xf numFmtId="0" fontId="64" fillId="8" borderId="25" xfId="0" applyFont="1" applyFill="1" applyBorder="1"/>
    <xf numFmtId="0" fontId="60" fillId="0" borderId="0" xfId="0" applyFont="1" applyAlignment="1">
      <alignment horizontal="left" vertical="center" wrapText="1"/>
    </xf>
    <xf numFmtId="0" fontId="59" fillId="0" borderId="0" xfId="0" applyFont="1"/>
    <xf numFmtId="0" fontId="65" fillId="0" borderId="11" xfId="0" applyFont="1" applyBorder="1" applyAlignment="1">
      <alignment horizontal="center" vertical="center"/>
    </xf>
    <xf numFmtId="0" fontId="64" fillId="0" borderId="11" xfId="0" applyFont="1" applyBorder="1"/>
    <xf numFmtId="0" fontId="14" fillId="0" borderId="0" xfId="0" applyFont="1" applyAlignment="1">
      <alignment horizontal="right" vertical="center" textRotation="90"/>
    </xf>
    <xf numFmtId="0" fontId="84" fillId="0" borderId="42" xfId="0" applyFont="1" applyBorder="1" applyAlignment="1">
      <alignment horizontal="center"/>
    </xf>
    <xf numFmtId="0" fontId="65" fillId="0" borderId="8" xfId="0" applyFont="1" applyBorder="1" applyAlignment="1">
      <alignment horizontal="center" vertical="center"/>
    </xf>
    <xf numFmtId="0" fontId="64" fillId="0" borderId="8" xfId="0" applyFont="1" applyBorder="1"/>
    <xf numFmtId="0" fontId="65" fillId="0" borderId="0" xfId="0" applyFont="1" applyAlignment="1">
      <alignment horizontal="right" vertical="center" textRotation="90"/>
    </xf>
    <xf numFmtId="167" fontId="58" fillId="0" borderId="0" xfId="0" applyNumberFormat="1" applyFont="1" applyAlignment="1">
      <alignment horizontal="center"/>
    </xf>
    <xf numFmtId="167" fontId="57" fillId="20" borderId="30" xfId="0" applyNumberFormat="1" applyFont="1" applyFill="1" applyBorder="1" applyAlignment="1">
      <alignment horizontal="center"/>
    </xf>
    <xf numFmtId="0" fontId="73" fillId="18" borderId="30" xfId="0" applyFont="1" applyFill="1" applyBorder="1"/>
    <xf numFmtId="0" fontId="57" fillId="19" borderId="24" xfId="0" applyFont="1" applyFill="1" applyBorder="1" applyAlignment="1">
      <alignment horizontal="center" vertical="center"/>
    </xf>
    <xf numFmtId="0" fontId="13" fillId="18" borderId="30" xfId="0" applyFont="1" applyFill="1" applyBorder="1"/>
    <xf numFmtId="0" fontId="13" fillId="18" borderId="25" xfId="0" applyFont="1" applyFill="1" applyBorder="1"/>
    <xf numFmtId="0" fontId="57" fillId="19" borderId="30" xfId="0" applyFont="1" applyFill="1" applyBorder="1" applyAlignment="1">
      <alignment horizontal="center" vertical="center"/>
    </xf>
    <xf numFmtId="0" fontId="74" fillId="19" borderId="52" xfId="0" applyFont="1" applyFill="1" applyBorder="1" applyAlignment="1">
      <alignment horizontal="center" wrapText="1"/>
    </xf>
    <xf numFmtId="0" fontId="21" fillId="18" borderId="44" xfId="0" applyFont="1" applyFill="1" applyBorder="1" applyAlignment="1">
      <alignment horizontal="center" wrapText="1"/>
    </xf>
    <xf numFmtId="0" fontId="74" fillId="19" borderId="44" xfId="0" applyFont="1" applyFill="1" applyBorder="1" applyAlignment="1">
      <alignment horizontal="center" wrapText="1"/>
    </xf>
    <xf numFmtId="0" fontId="57" fillId="19" borderId="30" xfId="0" applyFont="1" applyFill="1" applyBorder="1" applyAlignment="1">
      <alignment horizontal="left" vertical="center"/>
    </xf>
    <xf numFmtId="0" fontId="13" fillId="18" borderId="30" xfId="0" applyFont="1" applyFill="1" applyBorder="1" applyAlignment="1">
      <alignment horizontal="left"/>
    </xf>
    <xf numFmtId="168" fontId="58" fillId="0" borderId="0" xfId="0" applyNumberFormat="1" applyFont="1" applyAlignment="1">
      <alignment horizontal="left"/>
    </xf>
    <xf numFmtId="168" fontId="11" fillId="0" borderId="0" xfId="0" applyNumberFormat="1" applyFont="1" applyAlignment="1">
      <alignment horizontal="left"/>
    </xf>
    <xf numFmtId="168" fontId="57" fillId="20" borderId="30" xfId="0" applyNumberFormat="1" applyFont="1" applyFill="1" applyBorder="1" applyAlignment="1">
      <alignment horizontal="left"/>
    </xf>
    <xf numFmtId="168" fontId="73" fillId="18" borderId="30" xfId="0" applyNumberFormat="1" applyFont="1" applyFill="1" applyBorder="1" applyAlignment="1">
      <alignment horizontal="left"/>
    </xf>
  </cellXfs>
  <cellStyles count="10">
    <cellStyle name="Comma 2" xfId="4" xr:uid="{12F03E21-E12A-4EA6-BB20-9A98390B092A}"/>
    <cellStyle name="Currency" xfId="7" builtinId="4"/>
    <cellStyle name="Invisible" xfId="3" xr:uid="{893C1552-0CA1-4572-91D4-F40AEE5F94AE}"/>
    <cellStyle name="Normal" xfId="0" builtinId="0"/>
    <cellStyle name="Normal 2" xfId="1" xr:uid="{DA7CD423-574D-4101-8B6A-E77B3B56FC3C}"/>
    <cellStyle name="Normal 3" xfId="2" xr:uid="{FAA84ECF-1C74-4D9D-B96C-B8C28821CE1B}"/>
    <cellStyle name="Normal 4" xfId="6" xr:uid="{FC40DE5F-2AB9-4A81-8290-5D5E8AFD7DF9}"/>
    <cellStyle name="Normal 5" xfId="9" xr:uid="{4D21DA66-D1CA-409D-A12C-69C53BD29425}"/>
    <cellStyle name="Percent" xfId="8" builtinId="5"/>
    <cellStyle name="Percent 2" xfId="5" xr:uid="{5EB7E291-7D2F-4A26-AAFE-C1E2CBF7A8B9}"/>
  </cellStyles>
  <dxfs count="0"/>
  <tableStyles count="0" defaultTableStyle="TableStyleMedium2" defaultPivotStyle="PivotStyleLight16"/>
  <colors>
    <mruColors>
      <color rgb="FFF7F2EC"/>
      <color rgb="FF001D38"/>
      <color rgb="FF0432FF"/>
      <color rgb="FFA3C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DCF!$AA$4:$AA$6</c:f>
              <c:numCache>
                <c:formatCode>General</c:formatCode>
                <c:ptCount val="3"/>
              </c:numCache>
            </c:numRef>
          </c:cat>
          <c:val>
            <c:numRef>
              <c:f>DCF!$AB$4:$AB$6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801-D349-BBFA-B72DB317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092976"/>
        <c:axId val="227580880"/>
      </c:barChart>
      <c:catAx>
        <c:axId val="19320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80880"/>
        <c:crosses val="autoZero"/>
        <c:auto val="1"/>
        <c:lblAlgn val="ctr"/>
        <c:lblOffset val="100"/>
        <c:noMultiLvlLbl val="0"/>
      </c:catAx>
      <c:valAx>
        <c:axId val="2275808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320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CA"/>
              <a:t>Valuation Summary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597710495050112E-2"/>
          <c:y val="0.17127708621484555"/>
          <c:w val="0.90093049563417105"/>
          <c:h val="0.66336277467391269"/>
        </c:manualLayout>
      </c:layout>
      <c:stockChart>
        <c:ser>
          <c:idx val="4"/>
          <c:order val="0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Chart'!$C$5:$C$9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4-696E-4858-ADA0-A53EC99AB5CC}"/>
            </c:ext>
          </c:extLst>
        </c:ser>
        <c:ser>
          <c:idx val="5"/>
          <c:order val="1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Chart'!$D$5:$D$9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5-696E-4858-ADA0-A53EC99AB5CC}"/>
            </c:ext>
          </c:extLst>
        </c:ser>
        <c:ser>
          <c:idx val="6"/>
          <c:order val="2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Chart'!$E$5:$E$9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6-696E-4858-ADA0-A53EC99AB5CC}"/>
            </c:ext>
          </c:extLst>
        </c:ser>
        <c:ser>
          <c:idx val="7"/>
          <c:order val="3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Chart'!$F$5:$F$9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7-696E-4858-ADA0-A53EC99AB5CC}"/>
            </c:ext>
          </c:extLst>
        </c:ser>
        <c:ser>
          <c:idx val="0"/>
          <c:order val="4"/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'[2]Football Field Chart'!$C$5:$C$9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96E-4858-ADA0-A53EC99AB5CC}"/>
            </c:ext>
          </c:extLst>
        </c:ser>
        <c:ser>
          <c:idx val="1"/>
          <c:order val="5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'[2]Football Field Chart'!$D$5:$D$9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96E-4858-ADA0-A53EC99AB5CC}"/>
            </c:ext>
          </c:extLst>
        </c:ser>
        <c:ser>
          <c:idx val="2"/>
          <c:order val="6"/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'[2]Football Field Chart'!$E$5:$E$9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96E-4858-ADA0-A53EC99AB5CC}"/>
            </c:ext>
          </c:extLst>
        </c:ser>
        <c:ser>
          <c:idx val="3"/>
          <c:order val="7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'[2]Football Field Chart'!$F$5:$F$9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96E-4858-ADA0-A53EC99AB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noFill/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51334600"/>
        <c:axId val="251336952"/>
      </c:stockChart>
      <c:catAx>
        <c:axId val="25133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51336952"/>
        <c:crosses val="autoZero"/>
        <c:auto val="1"/>
        <c:lblAlgn val="ctr"/>
        <c:lblOffset val="100"/>
        <c:noMultiLvlLbl val="0"/>
      </c:catAx>
      <c:valAx>
        <c:axId val="251336952"/>
        <c:scaling>
          <c:orientation val="minMax"/>
          <c:min val="10"/>
        </c:scaling>
        <c:delete val="0"/>
        <c:axPos val="l"/>
        <c:numFmt formatCode="[$$-1009]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513346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CA"/>
              <a:t>Valuation Summary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7597710495050112E-2"/>
          <c:y val="0.17127708621484555"/>
          <c:w val="0.90093049563417105"/>
          <c:h val="0.66336277467391269"/>
        </c:manualLayout>
      </c:layout>
      <c:stockChart>
        <c:ser>
          <c:idx val="4"/>
          <c:order val="0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Chart'!$C$5:$C$9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825-4DCD-80C1-D34D38497DA1}"/>
            </c:ext>
          </c:extLst>
        </c:ser>
        <c:ser>
          <c:idx val="5"/>
          <c:order val="1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Chart'!$D$5:$D$9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825-4DCD-80C1-D34D38497DA1}"/>
            </c:ext>
          </c:extLst>
        </c:ser>
        <c:ser>
          <c:idx val="6"/>
          <c:order val="2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Chart'!$E$5:$E$9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C825-4DCD-80C1-D34D38497DA1}"/>
            </c:ext>
          </c:extLst>
        </c:ser>
        <c:ser>
          <c:idx val="7"/>
          <c:order val="3"/>
          <c:spPr>
            <a:ln w="19050">
              <a:noFill/>
            </a:ln>
          </c:spPr>
          <c:marker>
            <c:symbol val="none"/>
          </c:marker>
          <c:val>
            <c:numRef>
              <c:f>'[2]Football Field Chart'!$F$5:$F$9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C825-4DCD-80C1-D34D38497DA1}"/>
            </c:ext>
          </c:extLst>
        </c:ser>
        <c:ser>
          <c:idx val="0"/>
          <c:order val="4"/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'[2]Football Field Chart'!$C$5:$C$9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825-4DCD-80C1-D34D38497DA1}"/>
            </c:ext>
          </c:extLst>
        </c:ser>
        <c:ser>
          <c:idx val="1"/>
          <c:order val="5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'[2]Football Field Chart'!$D$5:$D$9</c:f>
              <c:numCache>
                <c:formatCode>General</c:formatCode>
                <c:ptCount val="5"/>
                <c:pt idx="0">
                  <c:v>116.56</c:v>
                </c:pt>
                <c:pt idx="1">
                  <c:v>134.72</c:v>
                </c:pt>
                <c:pt idx="2">
                  <c:v>83</c:v>
                </c:pt>
                <c:pt idx="3">
                  <c:v>208.72</c:v>
                </c:pt>
                <c:pt idx="4">
                  <c:v>253.54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C825-4DCD-80C1-D34D38497DA1}"/>
            </c:ext>
          </c:extLst>
        </c:ser>
        <c:ser>
          <c:idx val="2"/>
          <c:order val="6"/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'[2]Football Field Chart'!$E$5:$E$9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C825-4DCD-80C1-D34D38497DA1}"/>
            </c:ext>
          </c:extLst>
        </c:ser>
        <c:ser>
          <c:idx val="3"/>
          <c:order val="7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'[2]Football Field Chart'!$F$5:$F$9</c:f>
              <c:numCache>
                <c:formatCode>General</c:formatCode>
                <c:ptCount val="5"/>
                <c:pt idx="0">
                  <c:v>281.55</c:v>
                </c:pt>
                <c:pt idx="1">
                  <c:v>457.79</c:v>
                </c:pt>
                <c:pt idx="2">
                  <c:v>385.22</c:v>
                </c:pt>
                <c:pt idx="3">
                  <c:v>530.36</c:v>
                </c:pt>
                <c:pt idx="4">
                  <c:v>397.02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'[2]Football Field Chart'!$B$5:$B$9</c15:sqref>
                        </c15:formulaRef>
                      </c:ext>
                    </c:extLst>
                    <c:strCache>
                      <c:ptCount val="5"/>
                      <c:pt idx="0">
                        <c:v>52 wk avg (2025)</c:v>
                      </c:pt>
                      <c:pt idx="1">
                        <c:v>Blended share price</c:v>
                      </c:pt>
                      <c:pt idx="2">
                        <c:v>Perpetuity growth DCF</c:v>
                      </c:pt>
                      <c:pt idx="3">
                        <c:v>Exit multiple DCF</c:v>
                      </c:pt>
                      <c:pt idx="4">
                        <c:v>Comps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C825-4DCD-80C1-D34D38497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noFill/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51334600"/>
        <c:axId val="251336952"/>
      </c:stockChart>
      <c:catAx>
        <c:axId val="25133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51336952"/>
        <c:crosses val="autoZero"/>
        <c:auto val="1"/>
        <c:lblAlgn val="ctr"/>
        <c:lblOffset val="100"/>
        <c:noMultiLvlLbl val="0"/>
      </c:catAx>
      <c:valAx>
        <c:axId val="251336952"/>
        <c:scaling>
          <c:orientation val="minMax"/>
          <c:min val="10"/>
        </c:scaling>
        <c:delete val="0"/>
        <c:axPos val="l"/>
        <c:numFmt formatCode="[$$-1009]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513346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597710495050112E-2"/>
          <c:y val="0.17127708621484555"/>
          <c:w val="0.90093049563417105"/>
          <c:h val="0.66336277467391269"/>
        </c:manualLayout>
      </c:layout>
      <c:stockChart>
        <c:ser>
          <c:idx val="4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Chart'!$C$5:$C$9</c15:sqref>
                  </c15:fullRef>
                </c:ext>
              </c:extLst>
              <c:f>'[2]Football Field Chart'!$C$7:$C$8</c:f>
              <c:numCache>
                <c:formatCode>General</c:formatCode>
                <c:ptCount val="2"/>
                <c:pt idx="0">
                  <c:v>83</c:v>
                </c:pt>
                <c:pt idx="1">
                  <c:v>208.72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2-4F2F-9D40-6671A3391568}"/>
            </c:ext>
          </c:extLst>
        </c:ser>
        <c:ser>
          <c:idx val="5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Chart'!$D$5:$D$9</c15:sqref>
                  </c15:fullRef>
                </c:ext>
              </c:extLst>
              <c:f>'[2]Football Field Chart'!$D$7:$D$8</c:f>
              <c:numCache>
                <c:formatCode>General</c:formatCode>
                <c:ptCount val="2"/>
                <c:pt idx="0">
                  <c:v>83</c:v>
                </c:pt>
                <c:pt idx="1">
                  <c:v>208.72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2-4F2F-9D40-6671A3391568}"/>
            </c:ext>
          </c:extLst>
        </c:ser>
        <c:ser>
          <c:idx val="6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Chart'!$E$5:$E$9</c15:sqref>
                  </c15:fullRef>
                </c:ext>
              </c:extLst>
              <c:f>'[2]Football Field Chart'!$E$7:$E$8</c:f>
              <c:numCache>
                <c:formatCode>General</c:formatCode>
                <c:ptCount val="2"/>
                <c:pt idx="0">
                  <c:v>385.22</c:v>
                </c:pt>
                <c:pt idx="1">
                  <c:v>530.36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2-4F2F-9D40-6671A3391568}"/>
            </c:ext>
          </c:extLst>
        </c:ser>
        <c:ser>
          <c:idx val="7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Chart'!$F$5:$F$9</c15:sqref>
                  </c15:fullRef>
                </c:ext>
              </c:extLst>
              <c:f>'[2]Football Field Chart'!$F$7:$F$8</c:f>
              <c:numCache>
                <c:formatCode>General</c:formatCode>
                <c:ptCount val="2"/>
                <c:pt idx="0">
                  <c:v>385.22</c:v>
                </c:pt>
                <c:pt idx="1">
                  <c:v>530.36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2-4F2F-9D40-6671A3391568}"/>
            </c:ext>
          </c:extLst>
        </c:ser>
        <c:ser>
          <c:idx val="0"/>
          <c:order val="4"/>
          <c:spPr>
            <a:ln w="19050">
              <a:noFill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Chart'!$C$5:$C$9</c15:sqref>
                  </c15:fullRef>
                </c:ext>
              </c:extLst>
              <c:f>'[2]Football Field Chart'!$C$7:$C$8</c:f>
              <c:numCache>
                <c:formatCode>General</c:formatCode>
                <c:ptCount val="2"/>
                <c:pt idx="0">
                  <c:v>83</c:v>
                </c:pt>
                <c:pt idx="1">
                  <c:v>208.72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52-4F2F-9D40-6671A3391568}"/>
            </c:ext>
          </c:extLst>
        </c:ser>
        <c:ser>
          <c:idx val="1"/>
          <c:order val="5"/>
          <c:spPr>
            <a:ln w="19050">
              <a:noFill/>
            </a:ln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Chart'!$D$5:$D$9</c15:sqref>
                  </c15:fullRef>
                </c:ext>
              </c:extLst>
              <c:f>'[2]Football Field Chart'!$D$7:$D$8</c:f>
              <c:numCache>
                <c:formatCode>General</c:formatCode>
                <c:ptCount val="2"/>
                <c:pt idx="0">
                  <c:v>83</c:v>
                </c:pt>
                <c:pt idx="1">
                  <c:v>208.72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52-4F2F-9D40-6671A3391568}"/>
            </c:ext>
          </c:extLst>
        </c:ser>
        <c:ser>
          <c:idx val="2"/>
          <c:order val="6"/>
          <c:spPr>
            <a:ln w="19050">
              <a:noFill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Chart'!$E$5:$E$9</c15:sqref>
                  </c15:fullRef>
                </c:ext>
              </c:extLst>
              <c:f>'[2]Football Field Chart'!$E$7:$E$8</c:f>
              <c:numCache>
                <c:formatCode>General</c:formatCode>
                <c:ptCount val="2"/>
                <c:pt idx="0">
                  <c:v>385.22</c:v>
                </c:pt>
                <c:pt idx="1">
                  <c:v>530.36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52-4F2F-9D40-6671A3391568}"/>
            </c:ext>
          </c:extLst>
        </c:ser>
        <c:ser>
          <c:idx val="3"/>
          <c:order val="7"/>
          <c:spPr>
            <a:ln w="19050">
              <a:noFill/>
            </a:ln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'Case Comparison'!$B$4:$B$8</c15:sqref>
                  </c15:fullRef>
                </c:ext>
              </c:extLst>
              <c:f>'Case Comparison'!$B$6:$B$7</c:f>
              <c:strCache>
                <c:ptCount val="2"/>
                <c:pt idx="0">
                  <c:v>Perpetuity growth DCF</c:v>
                </c:pt>
                <c:pt idx="1">
                  <c:v>Exit multiple DCF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'[2]Football Field Chart'!$F$5:$F$9</c15:sqref>
                  </c15:fullRef>
                </c:ext>
              </c:extLst>
              <c:f>'[2]Football Field Chart'!$F$7:$F$8</c:f>
              <c:numCache>
                <c:formatCode>General</c:formatCode>
                <c:ptCount val="2"/>
                <c:pt idx="0">
                  <c:v>385.22</c:v>
                </c:pt>
                <c:pt idx="1">
                  <c:v>530.36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52-4F2F-9D40-6671A3391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noFill/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51334600"/>
        <c:axId val="251336952"/>
      </c:stockChart>
      <c:catAx>
        <c:axId val="25133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51336952"/>
        <c:crosses val="autoZero"/>
        <c:auto val="1"/>
        <c:lblAlgn val="ctr"/>
        <c:lblOffset val="100"/>
        <c:noMultiLvlLbl val="0"/>
      </c:catAx>
      <c:valAx>
        <c:axId val="251336952"/>
        <c:scaling>
          <c:orientation val="minMax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513346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Data'!$B$1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Data'!$A$2:$A$107</c:f>
              <c:numCache>
                <c:formatCode>m/d/yyyy</c:formatCode>
                <c:ptCount val="106"/>
                <c:pt idx="0">
                  <c:v>45962</c:v>
                </c:pt>
                <c:pt idx="1">
                  <c:v>45931</c:v>
                </c:pt>
                <c:pt idx="2">
                  <c:v>45901</c:v>
                </c:pt>
                <c:pt idx="3">
                  <c:v>45870</c:v>
                </c:pt>
                <c:pt idx="4">
                  <c:v>45839</c:v>
                </c:pt>
                <c:pt idx="5">
                  <c:v>45809</c:v>
                </c:pt>
                <c:pt idx="6">
                  <c:v>45778</c:v>
                </c:pt>
                <c:pt idx="7">
                  <c:v>45748</c:v>
                </c:pt>
                <c:pt idx="8">
                  <c:v>45717</c:v>
                </c:pt>
                <c:pt idx="9">
                  <c:v>45689</c:v>
                </c:pt>
                <c:pt idx="10">
                  <c:v>45658</c:v>
                </c:pt>
                <c:pt idx="11">
                  <c:v>45627</c:v>
                </c:pt>
                <c:pt idx="12">
                  <c:v>45597</c:v>
                </c:pt>
                <c:pt idx="13">
                  <c:v>45566</c:v>
                </c:pt>
                <c:pt idx="14">
                  <c:v>45536</c:v>
                </c:pt>
                <c:pt idx="15">
                  <c:v>45505</c:v>
                </c:pt>
                <c:pt idx="16">
                  <c:v>45474</c:v>
                </c:pt>
                <c:pt idx="17">
                  <c:v>45444</c:v>
                </c:pt>
                <c:pt idx="18">
                  <c:v>45413</c:v>
                </c:pt>
                <c:pt idx="19">
                  <c:v>45383</c:v>
                </c:pt>
                <c:pt idx="20">
                  <c:v>45352</c:v>
                </c:pt>
                <c:pt idx="21">
                  <c:v>45323</c:v>
                </c:pt>
                <c:pt idx="22">
                  <c:v>45292</c:v>
                </c:pt>
                <c:pt idx="23">
                  <c:v>45261</c:v>
                </c:pt>
                <c:pt idx="24">
                  <c:v>45231</c:v>
                </c:pt>
                <c:pt idx="25">
                  <c:v>45200</c:v>
                </c:pt>
                <c:pt idx="26">
                  <c:v>45170</c:v>
                </c:pt>
                <c:pt idx="27">
                  <c:v>45139</c:v>
                </c:pt>
                <c:pt idx="28">
                  <c:v>45108</c:v>
                </c:pt>
                <c:pt idx="29">
                  <c:v>45078</c:v>
                </c:pt>
                <c:pt idx="30">
                  <c:v>45047</c:v>
                </c:pt>
                <c:pt idx="31">
                  <c:v>45017</c:v>
                </c:pt>
                <c:pt idx="32">
                  <c:v>44986</c:v>
                </c:pt>
                <c:pt idx="33">
                  <c:v>44958</c:v>
                </c:pt>
                <c:pt idx="34">
                  <c:v>44927</c:v>
                </c:pt>
                <c:pt idx="35">
                  <c:v>44896</c:v>
                </c:pt>
                <c:pt idx="36">
                  <c:v>44866</c:v>
                </c:pt>
                <c:pt idx="37">
                  <c:v>44835</c:v>
                </c:pt>
                <c:pt idx="38">
                  <c:v>44805</c:v>
                </c:pt>
                <c:pt idx="39">
                  <c:v>44774</c:v>
                </c:pt>
                <c:pt idx="40">
                  <c:v>44743</c:v>
                </c:pt>
                <c:pt idx="41">
                  <c:v>44713</c:v>
                </c:pt>
                <c:pt idx="42">
                  <c:v>44682</c:v>
                </c:pt>
                <c:pt idx="43">
                  <c:v>44652</c:v>
                </c:pt>
                <c:pt idx="44">
                  <c:v>44621</c:v>
                </c:pt>
                <c:pt idx="45">
                  <c:v>44593</c:v>
                </c:pt>
                <c:pt idx="46">
                  <c:v>44562</c:v>
                </c:pt>
                <c:pt idx="47">
                  <c:v>44531</c:v>
                </c:pt>
                <c:pt idx="48">
                  <c:v>44501</c:v>
                </c:pt>
                <c:pt idx="49">
                  <c:v>44470</c:v>
                </c:pt>
                <c:pt idx="50">
                  <c:v>44440</c:v>
                </c:pt>
                <c:pt idx="51">
                  <c:v>44409</c:v>
                </c:pt>
                <c:pt idx="52">
                  <c:v>44378</c:v>
                </c:pt>
                <c:pt idx="53">
                  <c:v>44348</c:v>
                </c:pt>
                <c:pt idx="54">
                  <c:v>44317</c:v>
                </c:pt>
                <c:pt idx="55">
                  <c:v>44287</c:v>
                </c:pt>
                <c:pt idx="56">
                  <c:v>44256</c:v>
                </c:pt>
                <c:pt idx="57">
                  <c:v>44228</c:v>
                </c:pt>
                <c:pt idx="58">
                  <c:v>44197</c:v>
                </c:pt>
                <c:pt idx="59">
                  <c:v>44166</c:v>
                </c:pt>
                <c:pt idx="60">
                  <c:v>44136</c:v>
                </c:pt>
                <c:pt idx="61">
                  <c:v>44105</c:v>
                </c:pt>
                <c:pt idx="62">
                  <c:v>44075</c:v>
                </c:pt>
                <c:pt idx="63">
                  <c:v>44044</c:v>
                </c:pt>
                <c:pt idx="64">
                  <c:v>44013</c:v>
                </c:pt>
                <c:pt idx="65">
                  <c:v>43983</c:v>
                </c:pt>
                <c:pt idx="66">
                  <c:v>43952</c:v>
                </c:pt>
                <c:pt idx="67">
                  <c:v>43922</c:v>
                </c:pt>
                <c:pt idx="68">
                  <c:v>43891</c:v>
                </c:pt>
                <c:pt idx="69">
                  <c:v>43862</c:v>
                </c:pt>
                <c:pt idx="70">
                  <c:v>43831</c:v>
                </c:pt>
                <c:pt idx="71">
                  <c:v>43800</c:v>
                </c:pt>
                <c:pt idx="72">
                  <c:v>43770</c:v>
                </c:pt>
                <c:pt idx="73">
                  <c:v>43739</c:v>
                </c:pt>
                <c:pt idx="74">
                  <c:v>43709</c:v>
                </c:pt>
                <c:pt idx="75">
                  <c:v>43678</c:v>
                </c:pt>
                <c:pt idx="76">
                  <c:v>43647</c:v>
                </c:pt>
                <c:pt idx="77">
                  <c:v>43617</c:v>
                </c:pt>
                <c:pt idx="78">
                  <c:v>43586</c:v>
                </c:pt>
                <c:pt idx="79">
                  <c:v>43556</c:v>
                </c:pt>
                <c:pt idx="80">
                  <c:v>43525</c:v>
                </c:pt>
                <c:pt idx="81">
                  <c:v>43497</c:v>
                </c:pt>
                <c:pt idx="82">
                  <c:v>43466</c:v>
                </c:pt>
                <c:pt idx="83">
                  <c:v>43435</c:v>
                </c:pt>
                <c:pt idx="84">
                  <c:v>43405</c:v>
                </c:pt>
                <c:pt idx="85">
                  <c:v>43374</c:v>
                </c:pt>
                <c:pt idx="86">
                  <c:v>43344</c:v>
                </c:pt>
                <c:pt idx="87">
                  <c:v>43313</c:v>
                </c:pt>
                <c:pt idx="88">
                  <c:v>43282</c:v>
                </c:pt>
                <c:pt idx="89">
                  <c:v>43252</c:v>
                </c:pt>
                <c:pt idx="90">
                  <c:v>43221</c:v>
                </c:pt>
                <c:pt idx="91">
                  <c:v>43191</c:v>
                </c:pt>
                <c:pt idx="92">
                  <c:v>43160</c:v>
                </c:pt>
                <c:pt idx="93">
                  <c:v>43132</c:v>
                </c:pt>
                <c:pt idx="94">
                  <c:v>43101</c:v>
                </c:pt>
                <c:pt idx="95">
                  <c:v>43070</c:v>
                </c:pt>
                <c:pt idx="96">
                  <c:v>43040</c:v>
                </c:pt>
                <c:pt idx="97">
                  <c:v>43009</c:v>
                </c:pt>
                <c:pt idx="98">
                  <c:v>42979</c:v>
                </c:pt>
                <c:pt idx="99">
                  <c:v>42948</c:v>
                </c:pt>
                <c:pt idx="100">
                  <c:v>42917</c:v>
                </c:pt>
                <c:pt idx="101">
                  <c:v>42887</c:v>
                </c:pt>
                <c:pt idx="102">
                  <c:v>42856</c:v>
                </c:pt>
                <c:pt idx="103">
                  <c:v>42826</c:v>
                </c:pt>
                <c:pt idx="104">
                  <c:v>42795</c:v>
                </c:pt>
                <c:pt idx="105">
                  <c:v>42767</c:v>
                </c:pt>
              </c:numCache>
            </c:numRef>
          </c:cat>
          <c:val>
            <c:numRef>
              <c:f>'Stock Data'!$B$2:$B$107</c:f>
              <c:numCache>
                <c:formatCode>General</c:formatCode>
                <c:ptCount val="106"/>
                <c:pt idx="0">
                  <c:v>245.84</c:v>
                </c:pt>
                <c:pt idx="1">
                  <c:v>266.94</c:v>
                </c:pt>
                <c:pt idx="2">
                  <c:v>220.53</c:v>
                </c:pt>
                <c:pt idx="3">
                  <c:v>195.19</c:v>
                </c:pt>
                <c:pt idx="4">
                  <c:v>174.73</c:v>
                </c:pt>
                <c:pt idx="5">
                  <c:v>165.54</c:v>
                </c:pt>
                <c:pt idx="6">
                  <c:v>158.08000000000001</c:v>
                </c:pt>
                <c:pt idx="7">
                  <c:v>125.82</c:v>
                </c:pt>
                <c:pt idx="8">
                  <c:v>126.43</c:v>
                </c:pt>
                <c:pt idx="9">
                  <c:v>136.18</c:v>
                </c:pt>
                <c:pt idx="10">
                  <c:v>167.52</c:v>
                </c:pt>
                <c:pt idx="11">
                  <c:v>176.24</c:v>
                </c:pt>
                <c:pt idx="12">
                  <c:v>199.27</c:v>
                </c:pt>
                <c:pt idx="13">
                  <c:v>194.48</c:v>
                </c:pt>
                <c:pt idx="14">
                  <c:v>249.44</c:v>
                </c:pt>
                <c:pt idx="15">
                  <c:v>227.37</c:v>
                </c:pt>
                <c:pt idx="16">
                  <c:v>215.99</c:v>
                </c:pt>
                <c:pt idx="17">
                  <c:v>225.46</c:v>
                </c:pt>
                <c:pt idx="18">
                  <c:v>271.76</c:v>
                </c:pt>
                <c:pt idx="19">
                  <c:v>176.3</c:v>
                </c:pt>
                <c:pt idx="20">
                  <c:v>168.8</c:v>
                </c:pt>
                <c:pt idx="21">
                  <c:v>153.88999999999999</c:v>
                </c:pt>
                <c:pt idx="22">
                  <c:v>146.30000000000001</c:v>
                </c:pt>
                <c:pt idx="23">
                  <c:v>172.28</c:v>
                </c:pt>
                <c:pt idx="24">
                  <c:v>157.78</c:v>
                </c:pt>
                <c:pt idx="25">
                  <c:v>142.44999999999999</c:v>
                </c:pt>
                <c:pt idx="26">
                  <c:v>161.59</c:v>
                </c:pt>
                <c:pt idx="27">
                  <c:v>189.12</c:v>
                </c:pt>
                <c:pt idx="28">
                  <c:v>207.4</c:v>
                </c:pt>
                <c:pt idx="29">
                  <c:v>190.09</c:v>
                </c:pt>
                <c:pt idx="30">
                  <c:v>202.96</c:v>
                </c:pt>
                <c:pt idx="31">
                  <c:v>182.58</c:v>
                </c:pt>
                <c:pt idx="32">
                  <c:v>217.5</c:v>
                </c:pt>
                <c:pt idx="33">
                  <c:v>169.14</c:v>
                </c:pt>
                <c:pt idx="34">
                  <c:v>177.6</c:v>
                </c:pt>
                <c:pt idx="35">
                  <c:v>149.79</c:v>
                </c:pt>
                <c:pt idx="36">
                  <c:v>172.53</c:v>
                </c:pt>
                <c:pt idx="37">
                  <c:v>145.57</c:v>
                </c:pt>
                <c:pt idx="38">
                  <c:v>132.27000000000001</c:v>
                </c:pt>
                <c:pt idx="39">
                  <c:v>127.55</c:v>
                </c:pt>
                <c:pt idx="40">
                  <c:v>99.17</c:v>
                </c:pt>
                <c:pt idx="41">
                  <c:v>68.13</c:v>
                </c:pt>
                <c:pt idx="42">
                  <c:v>70.61</c:v>
                </c:pt>
                <c:pt idx="43">
                  <c:v>73.03</c:v>
                </c:pt>
                <c:pt idx="44">
                  <c:v>83.74</c:v>
                </c:pt>
                <c:pt idx="45">
                  <c:v>75.290000000000006</c:v>
                </c:pt>
                <c:pt idx="46">
                  <c:v>78.38</c:v>
                </c:pt>
                <c:pt idx="47">
                  <c:v>87.16</c:v>
                </c:pt>
                <c:pt idx="48">
                  <c:v>103.6</c:v>
                </c:pt>
                <c:pt idx="49">
                  <c:v>119.59</c:v>
                </c:pt>
                <c:pt idx="50">
                  <c:v>95.46</c:v>
                </c:pt>
                <c:pt idx="51">
                  <c:v>94</c:v>
                </c:pt>
                <c:pt idx="52">
                  <c:v>86.04</c:v>
                </c:pt>
                <c:pt idx="53">
                  <c:v>90.51</c:v>
                </c:pt>
                <c:pt idx="54">
                  <c:v>76.11</c:v>
                </c:pt>
                <c:pt idx="55">
                  <c:v>76.53</c:v>
                </c:pt>
                <c:pt idx="56">
                  <c:v>87.3</c:v>
                </c:pt>
                <c:pt idx="57">
                  <c:v>81.02</c:v>
                </c:pt>
                <c:pt idx="58">
                  <c:v>99.15</c:v>
                </c:pt>
                <c:pt idx="59">
                  <c:v>98.92</c:v>
                </c:pt>
                <c:pt idx="60">
                  <c:v>93.43</c:v>
                </c:pt>
                <c:pt idx="61">
                  <c:v>87.04</c:v>
                </c:pt>
                <c:pt idx="62">
                  <c:v>66.2</c:v>
                </c:pt>
                <c:pt idx="63">
                  <c:v>76.59</c:v>
                </c:pt>
                <c:pt idx="64">
                  <c:v>59.55</c:v>
                </c:pt>
                <c:pt idx="65">
                  <c:v>49.5</c:v>
                </c:pt>
                <c:pt idx="66">
                  <c:v>46.62</c:v>
                </c:pt>
                <c:pt idx="67">
                  <c:v>44.01</c:v>
                </c:pt>
                <c:pt idx="68">
                  <c:v>36.06</c:v>
                </c:pt>
                <c:pt idx="69">
                  <c:v>45.77</c:v>
                </c:pt>
                <c:pt idx="70">
                  <c:v>49.58</c:v>
                </c:pt>
                <c:pt idx="71">
                  <c:v>55.96</c:v>
                </c:pt>
                <c:pt idx="72">
                  <c:v>55.24</c:v>
                </c:pt>
                <c:pt idx="73">
                  <c:v>51.79</c:v>
                </c:pt>
                <c:pt idx="74">
                  <c:v>58.01</c:v>
                </c:pt>
                <c:pt idx="75">
                  <c:v>62.07</c:v>
                </c:pt>
                <c:pt idx="76">
                  <c:v>64.489999999999995</c:v>
                </c:pt>
                <c:pt idx="77">
                  <c:v>65.680000000000007</c:v>
                </c:pt>
                <c:pt idx="78">
                  <c:v>58.04</c:v>
                </c:pt>
                <c:pt idx="79">
                  <c:v>61.53</c:v>
                </c:pt>
                <c:pt idx="80">
                  <c:v>52.84</c:v>
                </c:pt>
                <c:pt idx="81">
                  <c:v>52.55</c:v>
                </c:pt>
                <c:pt idx="82">
                  <c:v>50.59</c:v>
                </c:pt>
                <c:pt idx="83">
                  <c:v>42.46</c:v>
                </c:pt>
                <c:pt idx="84">
                  <c:v>44.45</c:v>
                </c:pt>
                <c:pt idx="85">
                  <c:v>41.8</c:v>
                </c:pt>
                <c:pt idx="86">
                  <c:v>48.42</c:v>
                </c:pt>
                <c:pt idx="87">
                  <c:v>52.08</c:v>
                </c:pt>
                <c:pt idx="88">
                  <c:v>52.35</c:v>
                </c:pt>
                <c:pt idx="89">
                  <c:v>52.66</c:v>
                </c:pt>
                <c:pt idx="90">
                  <c:v>67.61</c:v>
                </c:pt>
                <c:pt idx="91">
                  <c:v>70.91</c:v>
                </c:pt>
                <c:pt idx="92">
                  <c:v>70.98</c:v>
                </c:pt>
                <c:pt idx="93">
                  <c:v>62.85</c:v>
                </c:pt>
                <c:pt idx="94">
                  <c:v>67.17</c:v>
                </c:pt>
                <c:pt idx="95">
                  <c:v>67.52</c:v>
                </c:pt>
                <c:pt idx="96">
                  <c:v>62.1</c:v>
                </c:pt>
                <c:pt idx="97">
                  <c:v>54.82</c:v>
                </c:pt>
                <c:pt idx="98">
                  <c:v>45.88</c:v>
                </c:pt>
                <c:pt idx="99">
                  <c:v>46.96</c:v>
                </c:pt>
                <c:pt idx="100">
                  <c:v>49.31</c:v>
                </c:pt>
                <c:pt idx="101">
                  <c:v>39.880000000000003</c:v>
                </c:pt>
                <c:pt idx="102">
                  <c:v>38.51</c:v>
                </c:pt>
                <c:pt idx="103">
                  <c:v>29.55</c:v>
                </c:pt>
                <c:pt idx="104">
                  <c:v>27.1</c:v>
                </c:pt>
                <c:pt idx="105">
                  <c:v>36.19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D-45FA-BD7E-717617DC5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493504"/>
        <c:axId val="570493984"/>
      </c:lineChart>
      <c:dateAx>
        <c:axId val="570493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70493984"/>
        <c:crosses val="autoZero"/>
        <c:auto val="1"/>
        <c:lblOffset val="100"/>
        <c:baseTimeUnit val="months"/>
      </c:dateAx>
      <c:valAx>
        <c:axId val="57049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7049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Data'!$B$1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Data'!$A$2:$A$72</c:f>
              <c:numCache>
                <c:formatCode>m/d/yyyy</c:formatCode>
                <c:ptCount val="71"/>
                <c:pt idx="0">
                  <c:v>45962</c:v>
                </c:pt>
                <c:pt idx="1">
                  <c:v>45931</c:v>
                </c:pt>
                <c:pt idx="2">
                  <c:v>45901</c:v>
                </c:pt>
                <c:pt idx="3">
                  <c:v>45870</c:v>
                </c:pt>
                <c:pt idx="4">
                  <c:v>45839</c:v>
                </c:pt>
                <c:pt idx="5">
                  <c:v>45809</c:v>
                </c:pt>
                <c:pt idx="6">
                  <c:v>45778</c:v>
                </c:pt>
                <c:pt idx="7">
                  <c:v>45748</c:v>
                </c:pt>
                <c:pt idx="8">
                  <c:v>45717</c:v>
                </c:pt>
                <c:pt idx="9">
                  <c:v>45689</c:v>
                </c:pt>
                <c:pt idx="10">
                  <c:v>45658</c:v>
                </c:pt>
                <c:pt idx="11">
                  <c:v>45627</c:v>
                </c:pt>
                <c:pt idx="12">
                  <c:v>45597</c:v>
                </c:pt>
                <c:pt idx="13">
                  <c:v>45566</c:v>
                </c:pt>
                <c:pt idx="14">
                  <c:v>45536</c:v>
                </c:pt>
                <c:pt idx="15">
                  <c:v>45505</c:v>
                </c:pt>
                <c:pt idx="16">
                  <c:v>45474</c:v>
                </c:pt>
                <c:pt idx="17">
                  <c:v>45444</c:v>
                </c:pt>
                <c:pt idx="18">
                  <c:v>45413</c:v>
                </c:pt>
                <c:pt idx="19">
                  <c:v>45383</c:v>
                </c:pt>
                <c:pt idx="20">
                  <c:v>45352</c:v>
                </c:pt>
                <c:pt idx="21">
                  <c:v>45323</c:v>
                </c:pt>
                <c:pt idx="22">
                  <c:v>45292</c:v>
                </c:pt>
                <c:pt idx="23">
                  <c:v>45261</c:v>
                </c:pt>
                <c:pt idx="24">
                  <c:v>45231</c:v>
                </c:pt>
                <c:pt idx="25">
                  <c:v>45200</c:v>
                </c:pt>
                <c:pt idx="26">
                  <c:v>45170</c:v>
                </c:pt>
                <c:pt idx="27">
                  <c:v>45139</c:v>
                </c:pt>
                <c:pt idx="28">
                  <c:v>45108</c:v>
                </c:pt>
                <c:pt idx="29">
                  <c:v>45078</c:v>
                </c:pt>
                <c:pt idx="30">
                  <c:v>45047</c:v>
                </c:pt>
                <c:pt idx="31">
                  <c:v>45017</c:v>
                </c:pt>
                <c:pt idx="32">
                  <c:v>44986</c:v>
                </c:pt>
                <c:pt idx="33">
                  <c:v>44958</c:v>
                </c:pt>
                <c:pt idx="34">
                  <c:v>44927</c:v>
                </c:pt>
                <c:pt idx="35">
                  <c:v>44896</c:v>
                </c:pt>
                <c:pt idx="36">
                  <c:v>44866</c:v>
                </c:pt>
                <c:pt idx="37">
                  <c:v>44835</c:v>
                </c:pt>
                <c:pt idx="38">
                  <c:v>44805</c:v>
                </c:pt>
                <c:pt idx="39">
                  <c:v>44774</c:v>
                </c:pt>
                <c:pt idx="40">
                  <c:v>44743</c:v>
                </c:pt>
                <c:pt idx="41">
                  <c:v>44713</c:v>
                </c:pt>
                <c:pt idx="42">
                  <c:v>44682</c:v>
                </c:pt>
                <c:pt idx="43">
                  <c:v>44652</c:v>
                </c:pt>
                <c:pt idx="44">
                  <c:v>44621</c:v>
                </c:pt>
                <c:pt idx="45">
                  <c:v>44593</c:v>
                </c:pt>
                <c:pt idx="46">
                  <c:v>44562</c:v>
                </c:pt>
                <c:pt idx="47">
                  <c:v>44531</c:v>
                </c:pt>
                <c:pt idx="48">
                  <c:v>44501</c:v>
                </c:pt>
                <c:pt idx="49">
                  <c:v>44470</c:v>
                </c:pt>
                <c:pt idx="50">
                  <c:v>44440</c:v>
                </c:pt>
                <c:pt idx="51">
                  <c:v>44409</c:v>
                </c:pt>
                <c:pt idx="52">
                  <c:v>44378</c:v>
                </c:pt>
                <c:pt idx="53">
                  <c:v>44348</c:v>
                </c:pt>
                <c:pt idx="54">
                  <c:v>44317</c:v>
                </c:pt>
                <c:pt idx="55">
                  <c:v>44287</c:v>
                </c:pt>
                <c:pt idx="56">
                  <c:v>44256</c:v>
                </c:pt>
                <c:pt idx="57">
                  <c:v>44228</c:v>
                </c:pt>
                <c:pt idx="58">
                  <c:v>44197</c:v>
                </c:pt>
                <c:pt idx="59">
                  <c:v>44166</c:v>
                </c:pt>
                <c:pt idx="60">
                  <c:v>44136</c:v>
                </c:pt>
                <c:pt idx="61">
                  <c:v>44105</c:v>
                </c:pt>
                <c:pt idx="62">
                  <c:v>44075</c:v>
                </c:pt>
                <c:pt idx="63">
                  <c:v>44044</c:v>
                </c:pt>
                <c:pt idx="64">
                  <c:v>44013</c:v>
                </c:pt>
                <c:pt idx="65">
                  <c:v>43983</c:v>
                </c:pt>
                <c:pt idx="66">
                  <c:v>43952</c:v>
                </c:pt>
                <c:pt idx="67">
                  <c:v>43922</c:v>
                </c:pt>
                <c:pt idx="68">
                  <c:v>43891</c:v>
                </c:pt>
                <c:pt idx="69">
                  <c:v>43862</c:v>
                </c:pt>
                <c:pt idx="70">
                  <c:v>43831</c:v>
                </c:pt>
              </c:numCache>
            </c:numRef>
          </c:cat>
          <c:val>
            <c:numRef>
              <c:f>'Stock Data'!$B$2:$B$72</c:f>
              <c:numCache>
                <c:formatCode>General</c:formatCode>
                <c:ptCount val="71"/>
                <c:pt idx="0">
                  <c:v>245.84</c:v>
                </c:pt>
                <c:pt idx="1">
                  <c:v>266.94</c:v>
                </c:pt>
                <c:pt idx="2">
                  <c:v>220.53</c:v>
                </c:pt>
                <c:pt idx="3">
                  <c:v>195.19</c:v>
                </c:pt>
                <c:pt idx="4">
                  <c:v>174.73</c:v>
                </c:pt>
                <c:pt idx="5">
                  <c:v>165.54</c:v>
                </c:pt>
                <c:pt idx="6">
                  <c:v>158.08000000000001</c:v>
                </c:pt>
                <c:pt idx="7">
                  <c:v>125.82</c:v>
                </c:pt>
                <c:pt idx="8">
                  <c:v>126.43</c:v>
                </c:pt>
                <c:pt idx="9">
                  <c:v>136.18</c:v>
                </c:pt>
                <c:pt idx="10">
                  <c:v>167.52</c:v>
                </c:pt>
                <c:pt idx="11">
                  <c:v>176.24</c:v>
                </c:pt>
                <c:pt idx="12">
                  <c:v>199.27</c:v>
                </c:pt>
                <c:pt idx="13">
                  <c:v>194.48</c:v>
                </c:pt>
                <c:pt idx="14">
                  <c:v>249.44</c:v>
                </c:pt>
                <c:pt idx="15">
                  <c:v>227.37</c:v>
                </c:pt>
                <c:pt idx="16">
                  <c:v>215.99</c:v>
                </c:pt>
                <c:pt idx="17">
                  <c:v>225.46</c:v>
                </c:pt>
                <c:pt idx="18">
                  <c:v>271.76</c:v>
                </c:pt>
                <c:pt idx="19">
                  <c:v>176.3</c:v>
                </c:pt>
                <c:pt idx="20">
                  <c:v>168.8</c:v>
                </c:pt>
                <c:pt idx="21">
                  <c:v>153.88999999999999</c:v>
                </c:pt>
                <c:pt idx="22">
                  <c:v>146.30000000000001</c:v>
                </c:pt>
                <c:pt idx="23">
                  <c:v>172.28</c:v>
                </c:pt>
                <c:pt idx="24">
                  <c:v>157.78</c:v>
                </c:pt>
                <c:pt idx="25">
                  <c:v>142.44999999999999</c:v>
                </c:pt>
                <c:pt idx="26">
                  <c:v>161.59</c:v>
                </c:pt>
                <c:pt idx="27">
                  <c:v>189.12</c:v>
                </c:pt>
                <c:pt idx="28">
                  <c:v>207.4</c:v>
                </c:pt>
                <c:pt idx="29">
                  <c:v>190.09</c:v>
                </c:pt>
                <c:pt idx="30">
                  <c:v>202.96</c:v>
                </c:pt>
                <c:pt idx="31">
                  <c:v>182.58</c:v>
                </c:pt>
                <c:pt idx="32">
                  <c:v>217.5</c:v>
                </c:pt>
                <c:pt idx="33">
                  <c:v>169.14</c:v>
                </c:pt>
                <c:pt idx="34">
                  <c:v>177.6</c:v>
                </c:pt>
                <c:pt idx="35">
                  <c:v>149.79</c:v>
                </c:pt>
                <c:pt idx="36">
                  <c:v>172.53</c:v>
                </c:pt>
                <c:pt idx="37">
                  <c:v>145.57</c:v>
                </c:pt>
                <c:pt idx="38">
                  <c:v>132.27000000000001</c:v>
                </c:pt>
                <c:pt idx="39">
                  <c:v>127.55</c:v>
                </c:pt>
                <c:pt idx="40">
                  <c:v>99.17</c:v>
                </c:pt>
                <c:pt idx="41">
                  <c:v>68.13</c:v>
                </c:pt>
                <c:pt idx="42">
                  <c:v>70.61</c:v>
                </c:pt>
                <c:pt idx="43">
                  <c:v>73.03</c:v>
                </c:pt>
                <c:pt idx="44">
                  <c:v>83.74</c:v>
                </c:pt>
                <c:pt idx="45">
                  <c:v>75.290000000000006</c:v>
                </c:pt>
                <c:pt idx="46">
                  <c:v>78.38</c:v>
                </c:pt>
                <c:pt idx="47">
                  <c:v>87.16</c:v>
                </c:pt>
                <c:pt idx="48">
                  <c:v>103.6</c:v>
                </c:pt>
                <c:pt idx="49">
                  <c:v>119.59</c:v>
                </c:pt>
                <c:pt idx="50">
                  <c:v>95.46</c:v>
                </c:pt>
                <c:pt idx="51">
                  <c:v>94</c:v>
                </c:pt>
                <c:pt idx="52">
                  <c:v>86.04</c:v>
                </c:pt>
                <c:pt idx="53">
                  <c:v>90.51</c:v>
                </c:pt>
                <c:pt idx="54">
                  <c:v>76.11</c:v>
                </c:pt>
                <c:pt idx="55">
                  <c:v>76.53</c:v>
                </c:pt>
                <c:pt idx="56">
                  <c:v>87.3</c:v>
                </c:pt>
                <c:pt idx="57">
                  <c:v>81.02</c:v>
                </c:pt>
                <c:pt idx="58">
                  <c:v>99.15</c:v>
                </c:pt>
                <c:pt idx="59">
                  <c:v>98.92</c:v>
                </c:pt>
                <c:pt idx="60">
                  <c:v>93.43</c:v>
                </c:pt>
                <c:pt idx="61">
                  <c:v>87.04</c:v>
                </c:pt>
                <c:pt idx="62">
                  <c:v>66.2</c:v>
                </c:pt>
                <c:pt idx="63">
                  <c:v>76.59</c:v>
                </c:pt>
                <c:pt idx="64">
                  <c:v>59.55</c:v>
                </c:pt>
                <c:pt idx="65">
                  <c:v>49.5</c:v>
                </c:pt>
                <c:pt idx="66">
                  <c:v>46.62</c:v>
                </c:pt>
                <c:pt idx="67">
                  <c:v>44.01</c:v>
                </c:pt>
                <c:pt idx="68">
                  <c:v>36.06</c:v>
                </c:pt>
                <c:pt idx="69">
                  <c:v>45.77</c:v>
                </c:pt>
                <c:pt idx="70">
                  <c:v>49.58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D-4736-9A6B-92B5E4560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234048"/>
        <c:axId val="2064235968"/>
      </c:lineChart>
      <c:dateAx>
        <c:axId val="2064234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64235968"/>
        <c:crosses val="autoZero"/>
        <c:auto val="1"/>
        <c:lblOffset val="100"/>
        <c:baseTimeUnit val="months"/>
      </c:dateAx>
      <c:valAx>
        <c:axId val="20642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6423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182244</xdr:colOff>
      <xdr:row>8</xdr:row>
      <xdr:rowOff>142240</xdr:rowOff>
    </xdr:from>
    <xdr:to>
      <xdr:col>13</xdr:col>
      <xdr:colOff>228599</xdr:colOff>
      <xdr:row>18</xdr:row>
      <xdr:rowOff>27940</xdr:rowOff>
    </xdr:to>
    <xdr:pic>
      <xdr:nvPicPr>
        <xdr:cNvPr id="5" name="Picture 4" descr="FSLR Stock Price and Chart — NASDAQ:FSLR — TradingView">
          <a:extLst>
            <a:ext uri="{FF2B5EF4-FFF2-40B4-BE49-F238E27FC236}">
              <a16:creationId xmlns:a16="http://schemas.microsoft.com/office/drawing/2014/main" id="{C7C87568-5993-9147-863E-BB00D8E3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1444" y="1727200"/>
          <a:ext cx="2149475" cy="1973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30480</xdr:colOff>
      <xdr:row>4</xdr:row>
      <xdr:rowOff>63500</xdr:rowOff>
    </xdr:from>
    <xdr:to>
      <xdr:col>13</xdr:col>
      <xdr:colOff>745110</xdr:colOff>
      <xdr:row>6</xdr:row>
      <xdr:rowOff>101600</xdr:rowOff>
    </xdr:to>
    <xdr:pic>
      <xdr:nvPicPr>
        <xdr:cNvPr id="6" name="Picture 5" descr="Cambridge Student Investment Fund">
          <a:extLst>
            <a:ext uri="{FF2B5EF4-FFF2-40B4-BE49-F238E27FC236}">
              <a16:creationId xmlns:a16="http://schemas.microsoft.com/office/drawing/2014/main" id="{B1221D0E-33A3-E64C-8515-FA4E168FA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9680" y="855980"/>
          <a:ext cx="2817750" cy="43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481263</xdr:colOff>
      <xdr:row>0</xdr:row>
      <xdr:rowOff>136357</xdr:rowOff>
    </xdr:from>
    <xdr:to>
      <xdr:col>13</xdr:col>
      <xdr:colOff>125853</xdr:colOff>
      <xdr:row>4</xdr:row>
      <xdr:rowOff>26072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D97B1-09E0-48CF-BC46-923D55A0A3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385"/>
        <a:stretch>
          <a:fillRect/>
        </a:stretch>
      </xdr:blipFill>
      <xdr:spPr>
        <a:xfrm>
          <a:off x="4868779" y="136357"/>
          <a:ext cx="4072211" cy="6757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333375</xdr:colOff>
      <xdr:row>1</xdr:row>
      <xdr:rowOff>66675</xdr:rowOff>
    </xdr:from>
    <xdr:ext cx="7200900" cy="4914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750313" y="1327313"/>
          <a:ext cx="7191375" cy="4905375"/>
        </a:xfrm>
        <a:prstGeom prst="rect">
          <a:avLst/>
        </a:prstGeom>
        <a:solidFill>
          <a:schemeClr val="dk1"/>
        </a:solidFill>
        <a:ln w="12700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working capital assets/liabilities are operating assets/liabilities that are not interest-bearing (so no cash, short term debt, revolver, or leases). Net working capital = total current operating assets - total current operating liabilities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These should be linked to your Metrics &amp; Drivers tab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593651</xdr:colOff>
      <xdr:row>0</xdr:row>
      <xdr:rowOff>0</xdr:rowOff>
    </xdr:from>
    <xdr:to>
      <xdr:col>12</xdr:col>
      <xdr:colOff>28131</xdr:colOff>
      <xdr:row>3</xdr:row>
      <xdr:rowOff>78154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0773D-BF99-4ABD-ACB5-1C44201FD8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00"/>
        <a:stretch>
          <a:fillRect/>
        </a:stretch>
      </xdr:blipFill>
      <xdr:spPr>
        <a:xfrm>
          <a:off x="593651" y="0"/>
          <a:ext cx="10161095" cy="7131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753533</xdr:colOff>
      <xdr:row>36</xdr:row>
      <xdr:rowOff>42333</xdr:rowOff>
    </xdr:from>
    <xdr:to>
      <xdr:col>26</xdr:col>
      <xdr:colOff>584200</xdr:colOff>
      <xdr:row>50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BC41BB-ECCB-38A9-A01D-FC519C0C9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592767</xdr:colOff>
      <xdr:row>0</xdr:row>
      <xdr:rowOff>42930</xdr:rowOff>
    </xdr:from>
    <xdr:to>
      <xdr:col>10</xdr:col>
      <xdr:colOff>121428</xdr:colOff>
      <xdr:row>2</xdr:row>
      <xdr:rowOff>182425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6A7984E-5B7B-41BC-BE66-FA9C40DE8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2385"/>
        <a:stretch>
          <a:fillRect/>
        </a:stretch>
      </xdr:blipFill>
      <xdr:spPr>
        <a:xfrm>
          <a:off x="5830175" y="42930"/>
          <a:ext cx="3864549" cy="5258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0</xdr:row>
      <xdr:rowOff>85458</xdr:rowOff>
    </xdr:from>
    <xdr:to>
      <xdr:col>10</xdr:col>
      <xdr:colOff>99702</xdr:colOff>
      <xdr:row>2</xdr:row>
      <xdr:rowOff>135739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17024-35A9-4B49-BA1B-72D39C00C9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385"/>
        <a:stretch>
          <a:fillRect/>
        </a:stretch>
      </xdr:blipFill>
      <xdr:spPr>
        <a:xfrm>
          <a:off x="5077627" y="85458"/>
          <a:ext cx="2706168" cy="4490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858107</xdr:colOff>
      <xdr:row>0</xdr:row>
      <xdr:rowOff>44622</xdr:rowOff>
    </xdr:from>
    <xdr:to>
      <xdr:col>12</xdr:col>
      <xdr:colOff>1447524</xdr:colOff>
      <xdr:row>2</xdr:row>
      <xdr:rowOff>46479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283FC92-5426-40E0-91EE-D9B486C34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385"/>
        <a:stretch>
          <a:fillRect/>
        </a:stretch>
      </xdr:blipFill>
      <xdr:spPr>
        <a:xfrm>
          <a:off x="13197702" y="44622"/>
          <a:ext cx="2842054" cy="3980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9</xdr:row>
      <xdr:rowOff>50800</xdr:rowOff>
    </xdr:from>
    <xdr:to>
      <xdr:col>8</xdr:col>
      <xdr:colOff>753110</xdr:colOff>
      <xdr:row>23</xdr:row>
      <xdr:rowOff>138430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3772DE-D41F-D940-A873-92F1D1206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9</xdr:row>
      <xdr:rowOff>50800</xdr:rowOff>
    </xdr:from>
    <xdr:to>
      <xdr:col>8</xdr:col>
      <xdr:colOff>753110</xdr:colOff>
      <xdr:row>23</xdr:row>
      <xdr:rowOff>138430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26BC4-2CD3-4475-B5C9-2C256795D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558800</xdr:colOff>
      <xdr:row>25</xdr:row>
      <xdr:rowOff>63500</xdr:rowOff>
    </xdr:from>
    <xdr:to>
      <xdr:col>8</xdr:col>
      <xdr:colOff>486410</xdr:colOff>
      <xdr:row>39</xdr:row>
      <xdr:rowOff>151130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56F9D32D-363E-4312-ADCB-1C7B07C00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82</xdr:row>
      <xdr:rowOff>95250</xdr:rowOff>
    </xdr:from>
    <xdr:to>
      <xdr:col>16</xdr:col>
      <xdr:colOff>352425</xdr:colOff>
      <xdr:row>97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0617C-B58C-4495-8EEE-0BFD5E8CA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79375</xdr:colOff>
      <xdr:row>65</xdr:row>
      <xdr:rowOff>82550</xdr:rowOff>
    </xdr:from>
    <xdr:to>
      <xdr:col>16</xdr:col>
      <xdr:colOff>384175</xdr:colOff>
      <xdr:row>80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BE52BA-75DC-4BD1-825C-8FF89501C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hared%20drives\Courses%20&amp;%20Programs\1%20Financial%20Modeling%20and%20Valuation%20Analyst%20(FMVA)\02.%20Excel%20Modeling%20Fundamentals\(Updated)%20Excel%20Fundamentals%20-%20Formulas%20for%20Finance%20-%20SCHMID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brown/Downloads/CFI-Football-Field-Chart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aw Data"/>
      <sheetName val="Basic Financial Analysis"/>
      <sheetName val="Advanced Financial Analysis"/>
      <sheetName val="Lookup Functions"/>
      <sheetName val="NPV Vs XNPV"/>
      <sheetName val="Simple Amortization"/>
      <sheetName val="Advanced Amortizatio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Football Field Chart"/>
    </sheetNames>
    <sheetDataSet>
      <sheetData sheetId="0" refreshError="1"/>
      <sheetData sheetId="1">
        <row r="5">
          <cell r="B5" t="str">
            <v>52 wk avg (2025)</v>
          </cell>
          <cell r="C5">
            <v>116.56</v>
          </cell>
          <cell r="D5">
            <v>116.56</v>
          </cell>
          <cell r="E5">
            <v>281.55</v>
          </cell>
          <cell r="F5">
            <v>281.55</v>
          </cell>
        </row>
        <row r="6">
          <cell r="B6" t="str">
            <v>Blended share price</v>
          </cell>
          <cell r="C6">
            <v>134.72</v>
          </cell>
          <cell r="D6">
            <v>134.72</v>
          </cell>
          <cell r="E6">
            <v>457.79</v>
          </cell>
          <cell r="F6">
            <v>457.79</v>
          </cell>
        </row>
        <row r="7">
          <cell r="B7" t="str">
            <v>Perpetuity growth DCF</v>
          </cell>
          <cell r="C7">
            <v>83</v>
          </cell>
          <cell r="D7">
            <v>83</v>
          </cell>
          <cell r="E7">
            <v>385.22</v>
          </cell>
          <cell r="F7">
            <v>385.22</v>
          </cell>
        </row>
        <row r="8">
          <cell r="B8" t="str">
            <v>Exit multiple DCF</v>
          </cell>
          <cell r="C8">
            <v>208.72</v>
          </cell>
          <cell r="D8">
            <v>208.72</v>
          </cell>
          <cell r="E8">
            <v>530.36</v>
          </cell>
          <cell r="F8">
            <v>530.36</v>
          </cell>
        </row>
        <row r="9">
          <cell r="B9" t="str">
            <v>Comps</v>
          </cell>
          <cell r="C9">
            <v>253.54</v>
          </cell>
          <cell r="D9">
            <v>253.54</v>
          </cell>
          <cell r="E9">
            <v>397.02</v>
          </cell>
          <cell r="F9">
            <v>397.02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. Erni" id="{0D4C95D6-0F27-47A3-A6BE-9B00FE6869C9}" userId="S::me552@cam.ac.uk::994cc75d-528b-4c4f-89c8-0930096450ca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000000"/>
      </a:hlink>
      <a:folHlink>
        <a:srgbClr val="0000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15" dT="2025-11-19T00:43:15.90" personId="{0D4C95D6-0F27-47A3-A6BE-9B00FE6869C9}" id="{8860171E-A8D6-48FD-AA8F-64BD12B3D844}">
    <text>Please check again with annual report from 2024 that actual values correspond + formula here only includes changes in NWC (formula is changed in H115)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F2EC"/>
  </sheetPr>
  <dimension ref="A1:Z1000"/>
  <sheetViews>
    <sheetView showGridLines="0" zoomScale="70" zoomScaleNormal="70" workbookViewId="0">
      <selection activeCell="G23" sqref="G23"/>
    </sheetView>
  </sheetViews>
  <sheetFormatPr defaultColWidth="14.44140625" defaultRowHeight="15" customHeight="1"/>
  <cols>
    <col min="1" max="1" width="2.77734375" style="19" customWidth="1"/>
    <col min="2" max="3" width="15.77734375" style="19" customWidth="1"/>
    <col min="4" max="4" width="18.44140625" style="19" bestFit="1" customWidth="1"/>
    <col min="5" max="9" width="15.77734375" style="19" customWidth="1"/>
    <col min="10" max="11" width="2.77734375" style="19" customWidth="1"/>
    <col min="12" max="26" width="12.77734375" style="19" customWidth="1"/>
    <col min="27" max="16384" width="14.44140625" style="19"/>
  </cols>
  <sheetData>
    <row r="1" spans="1:26" ht="15.7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thickBo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0"/>
      <c r="B4" s="20"/>
      <c r="C4" s="43"/>
      <c r="D4" s="44"/>
      <c r="E4" s="44"/>
      <c r="F4" s="44"/>
      <c r="G4" s="44"/>
      <c r="H4" s="44"/>
      <c r="I4" s="44"/>
      <c r="J4" s="44"/>
      <c r="K4" s="44"/>
      <c r="L4" s="44"/>
      <c r="M4" s="44"/>
      <c r="N4" s="45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0"/>
      <c r="B5" s="20"/>
      <c r="C5" s="46"/>
      <c r="D5" s="47"/>
      <c r="E5" s="47"/>
      <c r="F5" s="48"/>
      <c r="G5" s="47"/>
      <c r="H5" s="47"/>
      <c r="I5" s="47"/>
      <c r="J5" s="47"/>
      <c r="K5" s="47"/>
      <c r="L5" s="47"/>
      <c r="M5" s="47"/>
      <c r="N5" s="49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0"/>
      <c r="B6" s="20"/>
      <c r="C6" s="46"/>
      <c r="D6" s="47"/>
      <c r="E6" s="47"/>
      <c r="F6" s="47"/>
      <c r="G6" s="47"/>
      <c r="H6" s="47"/>
      <c r="I6" s="47"/>
      <c r="J6" s="47"/>
      <c r="K6" s="47"/>
      <c r="L6" s="47"/>
      <c r="M6" s="47"/>
      <c r="N6" s="49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>
      <c r="A7" s="20"/>
      <c r="B7" s="20"/>
      <c r="C7" s="46"/>
      <c r="D7" s="47"/>
      <c r="E7" s="47"/>
      <c r="F7" s="47"/>
      <c r="G7" s="47"/>
      <c r="H7" s="47"/>
      <c r="I7" s="47"/>
      <c r="J7" s="47"/>
      <c r="K7" s="47"/>
      <c r="L7" s="47"/>
      <c r="M7" s="47"/>
      <c r="N7" s="4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thickBot="1">
      <c r="A8" s="20"/>
      <c r="B8" s="2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2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20"/>
      <c r="B9" s="20"/>
      <c r="C9" s="283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5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20"/>
      <c r="B10" s="20"/>
      <c r="C10" s="283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5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4">
      <c r="A11" s="20"/>
      <c r="B11" s="20"/>
      <c r="C11" s="283"/>
      <c r="D11" s="540" t="s">
        <v>1</v>
      </c>
      <c r="E11" s="541"/>
      <c r="F11" s="541"/>
      <c r="G11" s="541"/>
      <c r="H11" s="284"/>
      <c r="I11" s="284"/>
      <c r="J11" s="284"/>
      <c r="K11" s="284"/>
      <c r="L11" s="284"/>
      <c r="M11" s="284"/>
      <c r="N11" s="285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A12" s="20"/>
      <c r="B12" s="20"/>
      <c r="C12" s="283"/>
      <c r="D12" s="286"/>
      <c r="E12" s="286"/>
      <c r="F12" s="286"/>
      <c r="G12" s="286"/>
      <c r="H12" s="284"/>
      <c r="I12" s="284"/>
      <c r="J12" s="284"/>
      <c r="K12" s="284"/>
      <c r="L12" s="284"/>
      <c r="M12" s="284"/>
      <c r="N12" s="285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>
      <c r="A13" s="20"/>
      <c r="B13" s="20"/>
      <c r="C13" s="283"/>
      <c r="D13" s="542" t="s">
        <v>2</v>
      </c>
      <c r="E13" s="541"/>
      <c r="F13" s="541"/>
      <c r="G13" s="541"/>
      <c r="H13" s="284"/>
      <c r="I13" s="284"/>
      <c r="J13" s="284"/>
      <c r="K13" s="284"/>
      <c r="L13" s="284"/>
      <c r="M13" s="284"/>
      <c r="N13" s="285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>
      <c r="A14" s="20"/>
      <c r="B14" s="20"/>
      <c r="C14" s="283"/>
      <c r="D14" s="543" t="s">
        <v>3</v>
      </c>
      <c r="E14" s="541"/>
      <c r="F14" s="541"/>
      <c r="G14" s="541"/>
      <c r="H14" s="284"/>
      <c r="I14" s="284"/>
      <c r="J14" s="284"/>
      <c r="K14" s="284"/>
      <c r="L14" s="284"/>
      <c r="M14" s="284"/>
      <c r="N14" s="285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>
      <c r="A15" s="20"/>
      <c r="B15" s="20"/>
      <c r="C15" s="283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5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>
      <c r="A16" s="20"/>
      <c r="B16" s="20"/>
      <c r="C16" s="283"/>
      <c r="D16" s="284"/>
      <c r="E16" s="284"/>
      <c r="F16" s="284"/>
      <c r="G16" s="284"/>
      <c r="H16" s="284"/>
      <c r="I16" s="284"/>
      <c r="J16" s="284"/>
      <c r="K16" s="284"/>
      <c r="L16" s="284"/>
      <c r="M16" s="284"/>
      <c r="N16" s="285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20"/>
      <c r="B17" s="20"/>
      <c r="C17" s="283"/>
      <c r="D17" s="288" t="s">
        <v>4</v>
      </c>
      <c r="E17" s="287"/>
      <c r="F17" s="287"/>
      <c r="G17" s="289">
        <f ca="1">+TODAY()</f>
        <v>45982</v>
      </c>
      <c r="H17" s="284"/>
      <c r="I17" s="284"/>
      <c r="J17" s="284"/>
      <c r="K17" s="284"/>
      <c r="L17" s="284"/>
      <c r="M17" s="284"/>
      <c r="N17" s="285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>
      <c r="A18" s="20"/>
      <c r="B18" s="20"/>
      <c r="C18" s="283"/>
      <c r="D18" s="290"/>
      <c r="E18" s="287"/>
      <c r="F18" s="287"/>
      <c r="G18" s="287"/>
      <c r="H18" s="284"/>
      <c r="I18" s="284"/>
      <c r="J18" s="284"/>
      <c r="K18" s="284"/>
      <c r="L18" s="284"/>
      <c r="M18" s="284"/>
      <c r="N18" s="285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20"/>
      <c r="B19" s="20"/>
      <c r="C19" s="283"/>
      <c r="D19" s="288" t="s">
        <v>5</v>
      </c>
      <c r="E19" s="291">
        <v>45976</v>
      </c>
      <c r="F19" s="287"/>
      <c r="G19" s="292">
        <v>245.84</v>
      </c>
      <c r="H19" s="293"/>
      <c r="I19" s="284"/>
      <c r="J19" s="284"/>
      <c r="K19" s="284"/>
      <c r="L19" s="284"/>
      <c r="M19" s="284"/>
      <c r="N19" s="285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20"/>
      <c r="B20" s="20"/>
      <c r="C20" s="283"/>
      <c r="D20" s="290"/>
      <c r="E20" s="287"/>
      <c r="F20" s="287"/>
      <c r="G20" s="287"/>
      <c r="H20" s="284"/>
      <c r="I20" s="284"/>
      <c r="J20" s="284"/>
      <c r="K20" s="284"/>
      <c r="L20" s="544" t="s">
        <v>6</v>
      </c>
      <c r="M20" s="545"/>
      <c r="N20" s="285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20"/>
      <c r="B21" s="20"/>
      <c r="C21" s="283"/>
      <c r="D21" s="288" t="s">
        <v>7</v>
      </c>
      <c r="E21" s="287"/>
      <c r="F21" s="287"/>
      <c r="G21" s="288">
        <v>3</v>
      </c>
      <c r="H21" s="284"/>
      <c r="I21" s="284"/>
      <c r="J21" s="294">
        <v>1</v>
      </c>
      <c r="K21" s="294"/>
      <c r="L21" s="300">
        <v>1</v>
      </c>
      <c r="M21" s="301" t="s">
        <v>8</v>
      </c>
      <c r="N21" s="285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thickBot="1">
      <c r="A22" s="20"/>
      <c r="B22" s="20"/>
      <c r="C22" s="283"/>
      <c r="D22" s="284"/>
      <c r="E22" s="284"/>
      <c r="F22" s="284"/>
      <c r="G22" s="276"/>
      <c r="H22" s="284"/>
      <c r="I22" s="284"/>
      <c r="J22" s="294">
        <v>2</v>
      </c>
      <c r="K22" s="294"/>
      <c r="L22" s="302">
        <f t="shared" ref="L22:L23" si="0">L21+1</f>
        <v>2</v>
      </c>
      <c r="M22" s="303" t="s">
        <v>9</v>
      </c>
      <c r="N22" s="285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thickBot="1">
      <c r="A23" s="20"/>
      <c r="B23" s="20"/>
      <c r="C23" s="283"/>
      <c r="D23" s="295" t="s">
        <v>10</v>
      </c>
      <c r="E23" s="284"/>
      <c r="F23" s="473">
        <f ca="1">DCF!V25</f>
        <v>148.43849933873676</v>
      </c>
      <c r="G23" s="472">
        <f ca="1">(DCF!V25-CurrentPrice)/CurrentPrice</f>
        <v>-0.39619874984243103</v>
      </c>
      <c r="H23" s="284"/>
      <c r="I23" s="284"/>
      <c r="J23" s="294">
        <v>3</v>
      </c>
      <c r="K23" s="294"/>
      <c r="L23" s="304">
        <f t="shared" si="0"/>
        <v>3</v>
      </c>
      <c r="M23" s="305" t="s">
        <v>11</v>
      </c>
      <c r="N23" s="285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20"/>
      <c r="B24" s="20"/>
      <c r="C24" s="283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5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20"/>
      <c r="B25" s="20"/>
      <c r="C25" s="283"/>
      <c r="D25" s="295" t="s">
        <v>12</v>
      </c>
      <c r="E25" s="284"/>
      <c r="F25" s="284"/>
      <c r="G25" s="522">
        <v>359.12</v>
      </c>
      <c r="H25" s="284"/>
      <c r="I25" s="284"/>
      <c r="J25" s="284"/>
      <c r="K25" s="284"/>
      <c r="L25" s="284"/>
      <c r="M25" s="284"/>
      <c r="N25" s="285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20"/>
      <c r="B26" s="20"/>
      <c r="C26" s="283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5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20"/>
      <c r="B27" s="20"/>
      <c r="C27" s="283"/>
      <c r="D27" s="295" t="s">
        <v>13</v>
      </c>
      <c r="E27" s="276"/>
      <c r="F27" s="284"/>
      <c r="G27" s="523">
        <f>(G25-CurrentPrice)/CurrentPrice</f>
        <v>0.46078750406768632</v>
      </c>
      <c r="H27" s="284"/>
      <c r="I27" s="284"/>
      <c r="J27" s="284"/>
      <c r="K27" s="284"/>
      <c r="L27" s="284"/>
      <c r="M27" s="284"/>
      <c r="N27" s="285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20"/>
      <c r="B28" s="20"/>
      <c r="C28" s="283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5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20"/>
      <c r="B29" s="20"/>
      <c r="C29" s="283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5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thickBot="1">
      <c r="A30" s="20"/>
      <c r="B30" s="20"/>
      <c r="C30" s="296"/>
      <c r="D30" s="297"/>
      <c r="E30" s="297"/>
      <c r="F30" s="297"/>
      <c r="G30" s="298"/>
      <c r="H30" s="297"/>
      <c r="I30" s="297"/>
      <c r="J30" s="297"/>
      <c r="K30" s="297"/>
      <c r="L30" s="297"/>
      <c r="M30" s="297"/>
      <c r="N30" s="299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>
      <c r="A37" s="20"/>
      <c r="B37" s="20"/>
      <c r="C37" s="20"/>
      <c r="D37" s="20"/>
      <c r="E37" s="20"/>
      <c r="F37" s="20"/>
      <c r="G37" s="20"/>
      <c r="H37" s="20"/>
      <c r="I37"/>
      <c r="J37" s="20"/>
      <c r="K37" s="20"/>
      <c r="L37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D11:G11"/>
    <mergeCell ref="D13:G13"/>
    <mergeCell ref="D14:G14"/>
    <mergeCell ref="L20:M20"/>
  </mergeCells>
  <dataValidations disablePrompts="1" count="1">
    <dataValidation type="list" allowBlank="1" showErrorMessage="1" sqref="G21" xr:uid="{00000000-0002-0000-0000-000000000000}">
      <formula1>$J$21:$J$23</formula1>
    </dataValidation>
  </dataValidations>
  <pageMargins left="0.7" right="0.7" top="0.75" bottom="0.75" header="0" footer="0"/>
  <pageSetup scale="6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3C1AD"/>
  </sheetPr>
  <dimension ref="A1:AA988"/>
  <sheetViews>
    <sheetView showGridLines="0" zoomScale="73" zoomScaleNormal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10" sqref="I10"/>
    </sheetView>
  </sheetViews>
  <sheetFormatPr defaultColWidth="14.44140625" defaultRowHeight="15" customHeight="1"/>
  <cols>
    <col min="1" max="2" width="1.77734375" style="19" customWidth="1"/>
    <col min="3" max="3" width="20.77734375" style="19" customWidth="1"/>
    <col min="4" max="5" width="9.21875" style="19" customWidth="1"/>
    <col min="6" max="19" width="10.77734375" style="19" customWidth="1"/>
    <col min="20" max="20" width="9.21875" style="19" customWidth="1"/>
    <col min="21" max="27" width="8.77734375" style="19" customWidth="1"/>
    <col min="28" max="16384" width="14.44140625" style="19"/>
  </cols>
  <sheetData>
    <row r="1" spans="1:27" s="276" customFormat="1" ht="15.6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</row>
    <row r="2" spans="1:27" s="276" customFormat="1" ht="21">
      <c r="A2" s="275"/>
      <c r="B2" s="275"/>
      <c r="C2" s="277" t="s">
        <v>14</v>
      </c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</row>
    <row r="3" spans="1:27" s="276" customFormat="1" ht="12.75" customHeight="1">
      <c r="A3" s="275"/>
      <c r="B3" s="275"/>
      <c r="C3" s="278" t="s">
        <v>15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5"/>
      <c r="V3" s="275"/>
      <c r="W3" s="275"/>
      <c r="X3" s="275"/>
      <c r="Y3" s="275"/>
      <c r="Z3" s="275"/>
      <c r="AA3" s="275"/>
    </row>
    <row r="4" spans="1:27" s="276" customFormat="1" ht="12.75" customHeight="1">
      <c r="A4" s="275"/>
      <c r="B4" s="275"/>
      <c r="C4" s="280" t="s">
        <v>16</v>
      </c>
      <c r="D4" s="280">
        <v>3</v>
      </c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</row>
    <row r="5" spans="1:27" s="276" customFormat="1" ht="12.75" customHeight="1">
      <c r="A5" s="275"/>
      <c r="B5" s="275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</row>
    <row r="6" spans="1:27" s="276" customFormat="1" ht="12.75" customHeight="1">
      <c r="A6" s="275"/>
      <c r="B6" s="275"/>
      <c r="C6" s="278" t="s">
        <v>17</v>
      </c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</row>
    <row r="7" spans="1:27" s="276" customFormat="1" ht="12.75" customHeight="1">
      <c r="A7" s="275"/>
      <c r="B7" s="275"/>
      <c r="C7" s="279"/>
      <c r="D7" s="279"/>
      <c r="E7" s="279"/>
      <c r="F7" s="556" t="s">
        <v>18</v>
      </c>
      <c r="G7" s="557"/>
      <c r="H7" s="557"/>
      <c r="I7" s="556" t="s">
        <v>19</v>
      </c>
      <c r="J7" s="557"/>
      <c r="K7" s="557"/>
      <c r="L7" s="557"/>
      <c r="M7" s="557"/>
      <c r="N7" s="281"/>
      <c r="O7" s="279"/>
      <c r="P7" s="558" t="s">
        <v>20</v>
      </c>
      <c r="Q7" s="559"/>
      <c r="R7" s="559"/>
      <c r="S7" s="559"/>
      <c r="T7" s="559"/>
      <c r="U7" s="279"/>
      <c r="V7" s="279"/>
      <c r="W7" s="279"/>
      <c r="X7" s="279"/>
      <c r="Y7" s="279"/>
      <c r="Z7" s="279"/>
      <c r="AA7" s="279"/>
    </row>
    <row r="8" spans="1:27" s="276" customFormat="1" ht="12.75" customHeight="1">
      <c r="A8" s="275"/>
      <c r="B8" s="275"/>
      <c r="C8" s="279"/>
      <c r="D8" s="279"/>
      <c r="E8" s="279"/>
      <c r="F8" s="282" t="s">
        <v>21</v>
      </c>
      <c r="G8" s="282" t="s">
        <v>22</v>
      </c>
      <c r="H8" s="282" t="s">
        <v>23</v>
      </c>
      <c r="I8" s="282" t="s">
        <v>24</v>
      </c>
      <c r="J8" s="282" t="s">
        <v>25</v>
      </c>
      <c r="K8" s="282" t="s">
        <v>26</v>
      </c>
      <c r="L8" s="282" t="s">
        <v>27</v>
      </c>
      <c r="M8" s="282" t="s">
        <v>28</v>
      </c>
      <c r="N8" s="281"/>
      <c r="O8" s="279"/>
      <c r="P8" s="556"/>
      <c r="Q8" s="557"/>
      <c r="R8" s="557"/>
      <c r="S8" s="557"/>
      <c r="T8" s="279"/>
      <c r="U8" s="279"/>
      <c r="V8" s="279"/>
      <c r="W8" s="279"/>
      <c r="X8" s="279"/>
      <c r="Y8" s="279"/>
      <c r="Z8" s="279"/>
      <c r="AA8" s="279"/>
    </row>
    <row r="9" spans="1:27" ht="12.75" customHeight="1" thickBot="1">
      <c r="A9" s="172"/>
      <c r="B9" s="172"/>
      <c r="C9" s="173"/>
      <c r="D9" s="173"/>
      <c r="E9" s="174"/>
      <c r="F9" s="173"/>
      <c r="G9" s="173"/>
      <c r="H9" s="173"/>
      <c r="I9" s="173"/>
      <c r="J9" s="173"/>
      <c r="K9" s="173"/>
      <c r="L9" s="173"/>
      <c r="M9" s="173"/>
      <c r="N9" s="175"/>
      <c r="O9" s="176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</row>
    <row r="10" spans="1:27" ht="12.75" customHeight="1">
      <c r="A10" s="172"/>
      <c r="B10" s="172"/>
      <c r="C10" s="445" t="s">
        <v>29</v>
      </c>
      <c r="D10" s="446"/>
      <c r="E10" s="446"/>
      <c r="F10" s="447">
        <f>'Three Statement Model'!D32</f>
        <v>2932.4</v>
      </c>
      <c r="G10" s="447">
        <f>'Three Statement Model'!E32</f>
        <v>2619.3000000000002</v>
      </c>
      <c r="H10" s="447">
        <f>'Three Statement Model'!F32</f>
        <v>3318.6</v>
      </c>
      <c r="I10" s="447">
        <f>4206.3</f>
        <v>4206.3</v>
      </c>
      <c r="J10" s="447">
        <f t="shared" ref="J10:M10" ca="1" si="0">J13*J19</f>
        <v>5467.8780000000006</v>
      </c>
      <c r="K10" s="447">
        <f t="shared" ca="1" si="0"/>
        <v>7108.2414000000017</v>
      </c>
      <c r="L10" s="447">
        <f t="shared" ca="1" si="0"/>
        <v>9240.7138200000027</v>
      </c>
      <c r="M10" s="448">
        <f t="shared" ca="1" si="0"/>
        <v>12012.927966000005</v>
      </c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</row>
    <row r="11" spans="1:27" ht="12.75" customHeight="1" thickBot="1">
      <c r="A11" s="172"/>
      <c r="B11" s="172"/>
      <c r="C11" s="449" t="s">
        <v>30</v>
      </c>
      <c r="D11" s="450"/>
      <c r="E11" s="450"/>
      <c r="F11" s="451"/>
      <c r="G11" s="451">
        <f>(G10-F10)/F10</f>
        <v>-0.10677260946664845</v>
      </c>
      <c r="H11" s="451">
        <f>(H10-G10)/G10</f>
        <v>0.26697972740808601</v>
      </c>
      <c r="I11" s="451">
        <f t="shared" ref="I11:M11" si="1">(I10-H10)/H10</f>
        <v>0.26749231603688312</v>
      </c>
      <c r="J11" s="451">
        <f t="shared" ca="1" si="1"/>
        <v>0.29992582554739328</v>
      </c>
      <c r="K11" s="451">
        <f t="shared" ca="1" si="1"/>
        <v>0.30000000000000016</v>
      </c>
      <c r="L11" s="451">
        <f t="shared" ca="1" si="1"/>
        <v>0.30000000000000004</v>
      </c>
      <c r="M11" s="452">
        <f t="shared" ca="1" si="1"/>
        <v>0.30000000000000016</v>
      </c>
      <c r="N11" s="173"/>
      <c r="O11" s="173"/>
      <c r="P11" s="560"/>
      <c r="Q11" s="561"/>
      <c r="R11" s="561"/>
      <c r="S11" s="561"/>
      <c r="T11" s="561"/>
      <c r="U11" s="173"/>
      <c r="V11" s="173"/>
      <c r="W11" s="173"/>
      <c r="X11" s="173"/>
      <c r="Y11" s="173"/>
      <c r="Z11" s="173"/>
      <c r="AA11" s="173"/>
    </row>
    <row r="12" spans="1:27" ht="15" customHeight="1" thickBot="1">
      <c r="A12" s="172"/>
      <c r="B12" s="172"/>
      <c r="C12" s="189"/>
      <c r="G12" s="185"/>
      <c r="H12" s="185"/>
      <c r="I12" s="185"/>
      <c r="J12" s="185"/>
      <c r="K12" s="185"/>
      <c r="L12" s="185"/>
      <c r="M12" s="185"/>
      <c r="N12" s="173"/>
      <c r="O12" s="173"/>
      <c r="P12" s="561"/>
      <c r="Q12" s="562"/>
      <c r="R12" s="562"/>
      <c r="S12" s="562"/>
      <c r="T12" s="561"/>
      <c r="U12" s="173"/>
      <c r="V12" s="173"/>
      <c r="W12" s="173"/>
      <c r="X12" s="173"/>
      <c r="Y12" s="173"/>
      <c r="Z12" s="173"/>
      <c r="AA12" s="173"/>
    </row>
    <row r="13" spans="1:27" ht="12.75" customHeight="1">
      <c r="A13" s="172"/>
      <c r="B13" s="172"/>
      <c r="C13" s="445" t="s">
        <v>31</v>
      </c>
      <c r="D13" s="446"/>
      <c r="E13" s="446"/>
      <c r="F13" s="454">
        <v>7900</v>
      </c>
      <c r="G13" s="454">
        <v>9100</v>
      </c>
      <c r="H13" s="455">
        <v>12100</v>
      </c>
      <c r="I13" s="456">
        <f>15578</f>
        <v>15578</v>
      </c>
      <c r="J13" s="456">
        <f t="shared" ref="J13:K13" ca="1" si="2">+I13*(1+J14)</f>
        <v>20251.400000000001</v>
      </c>
      <c r="K13" s="456">
        <f t="shared" ca="1" si="2"/>
        <v>26326.820000000003</v>
      </c>
      <c r="L13" s="456">
        <f ca="1">+K13*(1+L14)</f>
        <v>34224.866000000009</v>
      </c>
      <c r="M13" s="457">
        <f ca="1">+L13*(1+M14)</f>
        <v>44492.325800000013</v>
      </c>
      <c r="N13" s="173"/>
      <c r="O13" s="173"/>
      <c r="P13" s="561"/>
      <c r="Q13" s="562"/>
      <c r="R13" s="562"/>
      <c r="S13" s="562"/>
      <c r="T13" s="561"/>
      <c r="U13" s="173"/>
      <c r="V13" s="173"/>
      <c r="W13" s="173"/>
      <c r="X13" s="173"/>
      <c r="Y13" s="173"/>
      <c r="Z13" s="173"/>
      <c r="AA13" s="173"/>
    </row>
    <row r="14" spans="1:27" ht="12.75" customHeight="1">
      <c r="A14" s="172"/>
      <c r="B14" s="172"/>
      <c r="C14" s="458" t="s">
        <v>30</v>
      </c>
      <c r="D14" s="459"/>
      <c r="E14" s="459"/>
      <c r="F14" s="192"/>
      <c r="G14" s="192">
        <f t="shared" ref="G14" si="3">(G13/F13)-1</f>
        <v>0.15189873417721511</v>
      </c>
      <c r="H14" s="192">
        <f>(H13/G13)-1</f>
        <v>0.32967032967032961</v>
      </c>
      <c r="I14" s="192">
        <f>(I13/H13)-1</f>
        <v>0.28743801652892564</v>
      </c>
      <c r="J14" s="181">
        <f t="shared" ref="J14:M14" ca="1" si="4">+OFFSET(J14,$D$4,)</f>
        <v>0.3</v>
      </c>
      <c r="K14" s="181">
        <f t="shared" ca="1" si="4"/>
        <v>0.3</v>
      </c>
      <c r="L14" s="181">
        <f t="shared" ca="1" si="4"/>
        <v>0.3</v>
      </c>
      <c r="M14" s="460">
        <f t="shared" ca="1" si="4"/>
        <v>0.3</v>
      </c>
      <c r="N14" s="173"/>
      <c r="O14" s="173"/>
      <c r="P14" s="561"/>
      <c r="Q14" s="561"/>
      <c r="R14" s="561"/>
      <c r="S14" s="561"/>
      <c r="T14" s="561"/>
      <c r="U14" s="173"/>
      <c r="V14" s="173"/>
      <c r="W14" s="173"/>
      <c r="X14" s="173"/>
      <c r="Y14" s="173"/>
      <c r="Z14" s="173"/>
      <c r="AA14" s="173"/>
    </row>
    <row r="15" spans="1:27" ht="12.75" customHeight="1">
      <c r="A15" s="172"/>
      <c r="B15" s="172"/>
      <c r="C15" s="461" t="s">
        <v>8</v>
      </c>
      <c r="D15" s="462"/>
      <c r="E15" s="181"/>
      <c r="F15" s="463"/>
      <c r="G15" s="185"/>
      <c r="H15" s="185"/>
      <c r="I15" s="453"/>
      <c r="J15" s="468">
        <v>0.35</v>
      </c>
      <c r="K15" s="468">
        <v>0.35</v>
      </c>
      <c r="L15" s="468">
        <v>0.35</v>
      </c>
      <c r="M15" s="468">
        <v>0.35</v>
      </c>
      <c r="N15" s="173"/>
      <c r="O15" s="173"/>
      <c r="P15" s="190"/>
      <c r="Q15" s="190"/>
      <c r="R15" s="190"/>
      <c r="S15" s="190"/>
      <c r="T15" s="190"/>
      <c r="U15" s="173"/>
      <c r="V15" s="173"/>
      <c r="W15" s="173"/>
      <c r="X15" s="173"/>
      <c r="Y15" s="173"/>
      <c r="Z15" s="173"/>
      <c r="AA15" s="173"/>
    </row>
    <row r="16" spans="1:27" ht="12.75" customHeight="1">
      <c r="A16" s="172"/>
      <c r="B16" s="172"/>
      <c r="C16" s="461" t="s">
        <v>9</v>
      </c>
      <c r="D16" s="463"/>
      <c r="E16" s="463"/>
      <c r="F16" s="463"/>
      <c r="G16" s="185"/>
      <c r="H16" s="185"/>
      <c r="I16" s="453"/>
      <c r="J16" s="468">
        <v>0.38</v>
      </c>
      <c r="K16" s="468">
        <v>0.38</v>
      </c>
      <c r="L16" s="468">
        <v>0.38</v>
      </c>
      <c r="M16" s="468">
        <v>0.38</v>
      </c>
      <c r="N16" s="173"/>
      <c r="O16" s="191"/>
      <c r="P16" s="190"/>
      <c r="Q16" s="190"/>
      <c r="R16" s="190"/>
      <c r="S16" s="190"/>
      <c r="T16" s="190"/>
      <c r="U16" s="173"/>
      <c r="V16" s="173"/>
      <c r="W16" s="173"/>
      <c r="X16" s="173"/>
      <c r="Y16" s="173"/>
      <c r="Z16" s="173"/>
      <c r="AA16" s="173"/>
    </row>
    <row r="17" spans="1:27" ht="12.75" customHeight="1" thickBot="1">
      <c r="A17" s="172"/>
      <c r="B17" s="172"/>
      <c r="C17" s="464" t="s">
        <v>11</v>
      </c>
      <c r="D17" s="465"/>
      <c r="E17" s="465"/>
      <c r="F17" s="465"/>
      <c r="G17" s="466"/>
      <c r="H17" s="466"/>
      <c r="I17" s="467"/>
      <c r="J17" s="469">
        <v>0.3</v>
      </c>
      <c r="K17" s="469">
        <v>0.3</v>
      </c>
      <c r="L17" s="469">
        <v>0.3</v>
      </c>
      <c r="M17" s="469">
        <v>0.3</v>
      </c>
      <c r="N17" s="173"/>
      <c r="O17" s="173"/>
      <c r="P17" s="190"/>
      <c r="Q17" s="190"/>
      <c r="R17" s="190"/>
      <c r="S17" s="190"/>
      <c r="T17" s="190"/>
      <c r="U17" s="173"/>
      <c r="V17" s="173"/>
      <c r="W17" s="173"/>
      <c r="X17" s="173"/>
      <c r="Y17" s="173"/>
      <c r="Z17" s="173"/>
      <c r="AA17" s="173"/>
    </row>
    <row r="18" spans="1:27" ht="12.75" customHeight="1" thickBot="1">
      <c r="A18" s="172"/>
      <c r="B18" s="172"/>
      <c r="C18" s="189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563" t="s">
        <v>32</v>
      </c>
      <c r="Q18" s="564"/>
      <c r="R18" s="564"/>
      <c r="S18" s="564"/>
      <c r="T18" s="565"/>
      <c r="U18" s="173"/>
      <c r="V18" s="173"/>
      <c r="W18" s="173"/>
      <c r="X18" s="173"/>
      <c r="Y18" s="173"/>
      <c r="Z18" s="173"/>
      <c r="AA18" s="173"/>
    </row>
    <row r="19" spans="1:27" ht="12.75" customHeight="1">
      <c r="A19" s="172"/>
      <c r="B19" s="172"/>
      <c r="C19" s="177" t="s">
        <v>33</v>
      </c>
      <c r="D19" s="178"/>
      <c r="E19" s="178"/>
      <c r="F19" s="193">
        <f>F10/F13</f>
        <v>0.37118987341772153</v>
      </c>
      <c r="G19" s="193">
        <f>G10/G13</f>
        <v>0.28783516483516486</v>
      </c>
      <c r="H19" s="193">
        <f>H10/H13</f>
        <v>0.27426446280991734</v>
      </c>
      <c r="I19" s="193">
        <f>I10/I13</f>
        <v>0.27001540634227761</v>
      </c>
      <c r="J19" s="194">
        <f t="shared" ref="J19:M19" ca="1" si="5">J20</f>
        <v>0.27</v>
      </c>
      <c r="K19" s="194">
        <f t="shared" ca="1" si="5"/>
        <v>0.27</v>
      </c>
      <c r="L19" s="194">
        <f t="shared" ca="1" si="5"/>
        <v>0.27</v>
      </c>
      <c r="M19" s="194">
        <f t="shared" ca="1" si="5"/>
        <v>0.27</v>
      </c>
      <c r="N19" s="173"/>
      <c r="O19" s="173"/>
      <c r="P19" s="566"/>
      <c r="Q19" s="567"/>
      <c r="R19" s="567"/>
      <c r="S19" s="567"/>
      <c r="T19" s="568"/>
      <c r="U19" s="173"/>
      <c r="V19" s="173"/>
      <c r="W19" s="173"/>
      <c r="X19" s="173"/>
      <c r="Y19" s="173"/>
      <c r="Z19" s="173"/>
      <c r="AA19" s="173"/>
    </row>
    <row r="20" spans="1:27" ht="12.75" customHeight="1">
      <c r="A20" s="172"/>
      <c r="B20" s="172"/>
      <c r="C20" s="179" t="s">
        <v>30</v>
      </c>
      <c r="D20" s="180"/>
      <c r="E20" s="180"/>
      <c r="F20" s="181"/>
      <c r="G20" s="181">
        <f t="shared" ref="G20:H20" si="6">(G19-F19)/F19</f>
        <v>-0.22456083678972777</v>
      </c>
      <c r="H20" s="181">
        <f t="shared" si="6"/>
        <v>-4.7147477734414689E-2</v>
      </c>
      <c r="I20" s="195"/>
      <c r="J20" s="435">
        <f t="shared" ref="J20:M20" ca="1" si="7">+OFFSET(J20,$D$4,)</f>
        <v>0.27</v>
      </c>
      <c r="K20" s="195">
        <f t="shared" ca="1" si="7"/>
        <v>0.27</v>
      </c>
      <c r="L20" s="195">
        <f t="shared" ca="1" si="7"/>
        <v>0.27</v>
      </c>
      <c r="M20" s="196">
        <f t="shared" ca="1" si="7"/>
        <v>0.27</v>
      </c>
      <c r="N20" s="173"/>
      <c r="O20" s="173"/>
      <c r="P20" s="566"/>
      <c r="Q20" s="567"/>
      <c r="R20" s="567"/>
      <c r="S20" s="567"/>
      <c r="T20" s="568"/>
      <c r="U20" s="173"/>
      <c r="V20" s="173"/>
      <c r="W20" s="173"/>
      <c r="X20" s="173"/>
      <c r="Y20" s="173"/>
      <c r="Z20" s="173"/>
      <c r="AA20" s="173"/>
    </row>
    <row r="21" spans="1:27" ht="12.75" customHeight="1">
      <c r="A21" s="172"/>
      <c r="B21" s="172"/>
      <c r="C21" s="183" t="s">
        <v>8</v>
      </c>
      <c r="D21" s="184"/>
      <c r="E21" s="181"/>
      <c r="G21" s="185"/>
      <c r="H21" s="185"/>
      <c r="I21" s="197"/>
      <c r="J21" s="197">
        <v>0.3</v>
      </c>
      <c r="K21" s="197">
        <v>0.3</v>
      </c>
      <c r="L21" s="197">
        <v>0.3</v>
      </c>
      <c r="M21" s="197">
        <v>0.3</v>
      </c>
      <c r="N21" s="173"/>
      <c r="O21" s="173"/>
      <c r="P21" s="566"/>
      <c r="Q21" s="567"/>
      <c r="R21" s="567"/>
      <c r="S21" s="567"/>
      <c r="T21" s="568"/>
      <c r="U21" s="173"/>
      <c r="V21" s="173"/>
      <c r="W21" s="173"/>
      <c r="X21" s="173"/>
      <c r="Y21" s="173"/>
      <c r="Z21" s="173"/>
      <c r="AA21" s="173"/>
    </row>
    <row r="22" spans="1:27" ht="12.75" customHeight="1">
      <c r="A22" s="172"/>
      <c r="B22" s="172"/>
      <c r="C22" s="183" t="s">
        <v>9</v>
      </c>
      <c r="G22" s="185"/>
      <c r="H22" s="185"/>
      <c r="I22" s="197"/>
      <c r="J22" s="197">
        <v>0.32</v>
      </c>
      <c r="K22" s="197">
        <v>0.3</v>
      </c>
      <c r="L22" s="197">
        <v>0.3</v>
      </c>
      <c r="M22" s="197">
        <v>0.3</v>
      </c>
      <c r="N22" s="173"/>
      <c r="O22" s="173"/>
      <c r="P22" s="566"/>
      <c r="Q22" s="567"/>
      <c r="R22" s="567"/>
      <c r="S22" s="567"/>
      <c r="T22" s="568"/>
      <c r="U22" s="173"/>
      <c r="V22" s="173"/>
      <c r="W22" s="173"/>
      <c r="X22" s="173"/>
      <c r="Y22" s="173"/>
      <c r="Z22" s="173"/>
      <c r="AA22" s="173"/>
    </row>
    <row r="23" spans="1:27" ht="12.75" customHeight="1" thickBot="1">
      <c r="A23" s="172"/>
      <c r="B23" s="172"/>
      <c r="C23" s="186" t="s">
        <v>11</v>
      </c>
      <c r="D23" s="187"/>
      <c r="E23" s="187"/>
      <c r="F23" s="187"/>
      <c r="G23" s="188"/>
      <c r="H23" s="188"/>
      <c r="I23" s="197"/>
      <c r="J23" s="197">
        <v>0.27</v>
      </c>
      <c r="K23" s="197">
        <v>0.27</v>
      </c>
      <c r="L23" s="197">
        <v>0.27</v>
      </c>
      <c r="M23" s="197">
        <v>0.27</v>
      </c>
      <c r="N23" s="173"/>
      <c r="O23" s="173"/>
      <c r="P23" s="569"/>
      <c r="Q23" s="570"/>
      <c r="R23" s="570"/>
      <c r="S23" s="570"/>
      <c r="T23" s="571"/>
      <c r="U23" s="173"/>
      <c r="V23" s="173"/>
      <c r="W23" s="173"/>
      <c r="X23" s="173"/>
      <c r="Y23" s="173"/>
      <c r="Z23" s="173"/>
      <c r="AA23" s="173"/>
    </row>
    <row r="24" spans="1:27" ht="12.75" customHeight="1" thickBot="1">
      <c r="A24" s="172"/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98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</row>
    <row r="25" spans="1:27" ht="12.75" customHeight="1">
      <c r="A25" s="172"/>
      <c r="B25" s="172"/>
      <c r="C25" s="177" t="s">
        <v>34</v>
      </c>
      <c r="D25" s="178"/>
      <c r="E25" s="178"/>
      <c r="F25" s="470">
        <v>2193.4</v>
      </c>
      <c r="G25" s="470">
        <v>2491.6999999999998</v>
      </c>
      <c r="H25" s="471">
        <v>2017.9</v>
      </c>
      <c r="I25" s="471">
        <f>I10*(I26)</f>
        <v>1880.3700000000001</v>
      </c>
      <c r="J25" s="200">
        <f ca="1">J10*(J26)</f>
        <v>3280.7268000000004</v>
      </c>
      <c r="K25" s="200">
        <f ca="1">K10*(K26)</f>
        <v>4264.944840000001</v>
      </c>
      <c r="L25" s="200">
        <f ca="1">L10*(L26)</f>
        <v>5544.4282920000014</v>
      </c>
      <c r="M25" s="200">
        <f ca="1">M10*(M26)</f>
        <v>7207.756779600003</v>
      </c>
      <c r="N25" s="198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</row>
    <row r="26" spans="1:27" ht="12.75" customHeight="1">
      <c r="A26" s="172"/>
      <c r="B26" s="172"/>
      <c r="C26" s="179" t="s">
        <v>35</v>
      </c>
      <c r="D26" s="180"/>
      <c r="E26" s="180"/>
      <c r="F26" s="181">
        <f>F25/F10</f>
        <v>0.74798799618060297</v>
      </c>
      <c r="G26" s="181">
        <f>G25/G10</f>
        <v>0.95128469438399554</v>
      </c>
      <c r="H26" s="181">
        <f>H25/H10</f>
        <v>0.60805761465678299</v>
      </c>
      <c r="I26" s="201">
        <f>'Three Statement Model'!G33/'Three Statement Model'!G32*-1</f>
        <v>0.44703658797518009</v>
      </c>
      <c r="J26" s="201">
        <f t="shared" ref="J26:M26" ca="1" si="8">+OFFSET(J26,$D$4,)</f>
        <v>0.6</v>
      </c>
      <c r="K26" s="201">
        <f t="shared" ca="1" si="8"/>
        <v>0.6</v>
      </c>
      <c r="L26" s="201">
        <f t="shared" ca="1" si="8"/>
        <v>0.6</v>
      </c>
      <c r="M26" s="201">
        <f t="shared" ca="1" si="8"/>
        <v>0.6</v>
      </c>
      <c r="N26" s="198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</row>
    <row r="27" spans="1:27" ht="12.75" customHeight="1">
      <c r="A27" s="172"/>
      <c r="B27" s="172"/>
      <c r="C27" s="183" t="s">
        <v>8</v>
      </c>
      <c r="D27" s="184"/>
      <c r="E27" s="181"/>
      <c r="G27" s="185"/>
      <c r="H27" s="185"/>
      <c r="I27" s="202"/>
      <c r="J27" s="202">
        <v>0.5</v>
      </c>
      <c r="K27" s="202">
        <v>0.5</v>
      </c>
      <c r="L27" s="202">
        <v>0.5</v>
      </c>
      <c r="M27" s="202">
        <v>0.5</v>
      </c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</row>
    <row r="28" spans="1:27" ht="12.75" customHeight="1" thickBot="1">
      <c r="A28" s="172"/>
      <c r="B28" s="172"/>
      <c r="C28" s="183" t="s">
        <v>9</v>
      </c>
      <c r="G28" s="185"/>
      <c r="H28" s="185"/>
      <c r="I28" s="203"/>
      <c r="J28" s="203">
        <v>0.5</v>
      </c>
      <c r="K28" s="203">
        <v>0.5</v>
      </c>
      <c r="L28" s="203">
        <v>0.48</v>
      </c>
      <c r="M28" s="203">
        <v>0.45</v>
      </c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</row>
    <row r="29" spans="1:27" ht="15" customHeight="1" thickBot="1">
      <c r="A29" s="172"/>
      <c r="B29" s="172"/>
      <c r="C29" s="186" t="s">
        <v>11</v>
      </c>
      <c r="D29" s="187"/>
      <c r="E29" s="187"/>
      <c r="F29" s="187"/>
      <c r="G29" s="188"/>
      <c r="H29" s="188"/>
      <c r="I29" s="203"/>
      <c r="J29" s="203">
        <v>0.6</v>
      </c>
      <c r="K29" s="203">
        <v>0.6</v>
      </c>
      <c r="L29" s="203">
        <v>0.6</v>
      </c>
      <c r="M29" s="203">
        <v>0.6</v>
      </c>
      <c r="N29" s="173"/>
      <c r="O29" s="173"/>
      <c r="U29" s="173"/>
      <c r="V29" s="173"/>
      <c r="W29" s="173"/>
      <c r="X29" s="173"/>
      <c r="Y29" s="173"/>
      <c r="Z29" s="173"/>
      <c r="AA29" s="173"/>
    </row>
    <row r="30" spans="1:27" ht="12.75" customHeight="1" thickBot="1">
      <c r="A30" s="172"/>
      <c r="B30" s="172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U30" s="173"/>
      <c r="V30" s="173"/>
      <c r="W30" s="173"/>
      <c r="X30" s="173"/>
      <c r="Y30" s="173"/>
      <c r="Z30" s="173"/>
      <c r="AA30" s="173"/>
    </row>
    <row r="31" spans="1:27" ht="12.75" customHeight="1">
      <c r="A31" s="172"/>
      <c r="B31" s="172"/>
      <c r="C31" s="177" t="s">
        <v>36</v>
      </c>
      <c r="D31" s="178"/>
      <c r="E31" s="178"/>
      <c r="F31" s="199"/>
      <c r="G31" s="199"/>
      <c r="H31" s="199"/>
      <c r="I31" s="200">
        <f ca="1">I32*(I10)</f>
        <v>378.56700000000001</v>
      </c>
      <c r="J31" s="200">
        <f ca="1">J32*(J10)</f>
        <v>492.10902000000004</v>
      </c>
      <c r="K31" s="200">
        <f ca="1">K32*(K10)</f>
        <v>639.74172600000009</v>
      </c>
      <c r="L31" s="200">
        <f ca="1">L32*(L10)</f>
        <v>831.66424380000024</v>
      </c>
      <c r="M31" s="200">
        <f ca="1">M32*(M10)</f>
        <v>1081.1635169400004</v>
      </c>
      <c r="N31" s="173"/>
      <c r="O31" s="173"/>
      <c r="U31" s="173"/>
      <c r="V31" s="173"/>
      <c r="W31" s="173"/>
      <c r="X31" s="173"/>
      <c r="Y31" s="173"/>
      <c r="Z31" s="173"/>
      <c r="AA31" s="173"/>
    </row>
    <row r="32" spans="1:27" ht="12.75" customHeight="1">
      <c r="A32" s="172"/>
      <c r="B32" s="172"/>
      <c r="C32" s="179" t="s">
        <v>37</v>
      </c>
      <c r="D32" s="180"/>
      <c r="E32" s="180"/>
      <c r="F32" s="181">
        <f>F31/(F19+F10)</f>
        <v>0</v>
      </c>
      <c r="G32" s="181">
        <f>G31/(G19+G10)</f>
        <v>0</v>
      </c>
      <c r="H32" s="181">
        <f>H31/(H19+H10)</f>
        <v>0</v>
      </c>
      <c r="I32" s="433">
        <f t="shared" ref="I32:M32" ca="1" si="9">+OFFSET(I32,$D$4,)</f>
        <v>0.09</v>
      </c>
      <c r="J32" s="181">
        <f t="shared" ca="1" si="9"/>
        <v>0.09</v>
      </c>
      <c r="K32" s="181">
        <f t="shared" ca="1" si="9"/>
        <v>0.09</v>
      </c>
      <c r="L32" s="181">
        <f t="shared" ca="1" si="9"/>
        <v>0.09</v>
      </c>
      <c r="M32" s="182">
        <f t="shared" ca="1" si="9"/>
        <v>0.09</v>
      </c>
      <c r="N32" s="173"/>
      <c r="O32" s="173"/>
      <c r="U32" s="173"/>
      <c r="V32" s="173"/>
      <c r="W32" s="173"/>
      <c r="X32" s="173"/>
      <c r="Y32" s="173"/>
      <c r="Z32" s="173"/>
      <c r="AA32" s="173"/>
    </row>
    <row r="33" spans="1:27" ht="12.75" customHeight="1">
      <c r="A33" s="172"/>
      <c r="B33" s="172"/>
      <c r="C33" s="183" t="s">
        <v>8</v>
      </c>
      <c r="D33" s="184"/>
      <c r="E33" s="181"/>
      <c r="G33" s="185"/>
      <c r="H33" s="185"/>
      <c r="I33" s="437">
        <v>7.0000000000000007E-2</v>
      </c>
      <c r="J33" s="204">
        <v>7.0000000000000007E-2</v>
      </c>
      <c r="K33" s="204">
        <v>7.0000000000000007E-2</v>
      </c>
      <c r="L33" s="204">
        <v>7.0000000000000007E-2</v>
      </c>
      <c r="M33" s="204">
        <v>7.0000000000000007E-2</v>
      </c>
      <c r="N33" s="173"/>
      <c r="O33" s="173"/>
      <c r="U33" s="173"/>
      <c r="V33" s="173"/>
      <c r="W33" s="173"/>
      <c r="X33" s="173"/>
      <c r="Y33" s="173"/>
      <c r="Z33" s="173"/>
      <c r="AA33" s="173"/>
    </row>
    <row r="34" spans="1:27" ht="12.75" customHeight="1" thickBot="1">
      <c r="A34" s="172"/>
      <c r="B34" s="172"/>
      <c r="C34" s="183" t="s">
        <v>9</v>
      </c>
      <c r="G34" s="185"/>
      <c r="H34" s="185"/>
      <c r="I34" s="204">
        <v>0.06</v>
      </c>
      <c r="J34" s="204">
        <v>0.06</v>
      </c>
      <c r="K34" s="204">
        <v>0.06</v>
      </c>
      <c r="L34" s="204">
        <v>0.06</v>
      </c>
      <c r="M34" s="204">
        <v>0.06</v>
      </c>
      <c r="N34" s="173"/>
      <c r="O34" s="173"/>
      <c r="U34" s="173"/>
      <c r="V34" s="173"/>
      <c r="W34" s="173"/>
      <c r="X34" s="173"/>
      <c r="Y34" s="173"/>
      <c r="Z34" s="173"/>
      <c r="AA34" s="173"/>
    </row>
    <row r="35" spans="1:27" ht="12.75" customHeight="1" thickBot="1">
      <c r="A35" s="172"/>
      <c r="B35" s="172"/>
      <c r="C35" s="186" t="s">
        <v>11</v>
      </c>
      <c r="D35" s="187"/>
      <c r="E35" s="187"/>
      <c r="F35" s="187"/>
      <c r="G35" s="188"/>
      <c r="H35" s="188"/>
      <c r="I35" s="204">
        <v>0.09</v>
      </c>
      <c r="J35" s="204">
        <v>0.09</v>
      </c>
      <c r="K35" s="204">
        <v>0.09</v>
      </c>
      <c r="L35" s="204">
        <v>0.09</v>
      </c>
      <c r="M35" s="204">
        <v>0.09</v>
      </c>
      <c r="N35" s="173"/>
      <c r="O35" s="173"/>
      <c r="P35" s="546"/>
      <c r="Q35" s="547"/>
      <c r="R35" s="547"/>
      <c r="S35" s="547"/>
      <c r="T35" s="548"/>
      <c r="U35" s="173"/>
      <c r="V35" s="173"/>
      <c r="W35" s="173"/>
      <c r="X35" s="173"/>
      <c r="Y35" s="173"/>
      <c r="Z35" s="173"/>
      <c r="AA35" s="173"/>
    </row>
    <row r="36" spans="1:27" ht="12.75" customHeight="1" thickBot="1">
      <c r="A36" s="172"/>
      <c r="B36" s="172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549"/>
      <c r="Q36" s="550"/>
      <c r="R36" s="550"/>
      <c r="S36" s="550"/>
      <c r="T36" s="551"/>
      <c r="U36" s="173"/>
      <c r="V36" s="173"/>
      <c r="W36" s="173"/>
      <c r="X36" s="173"/>
      <c r="Y36" s="173"/>
      <c r="Z36" s="173"/>
      <c r="AA36" s="173"/>
    </row>
    <row r="37" spans="1:27" ht="12.75" customHeight="1">
      <c r="A37" s="172"/>
      <c r="B37" s="172"/>
      <c r="C37" s="177" t="s">
        <v>38</v>
      </c>
      <c r="D37" s="178"/>
      <c r="E37" s="178"/>
      <c r="F37" s="199"/>
      <c r="G37" s="199"/>
      <c r="H37" s="199"/>
      <c r="I37" s="200">
        <f ca="1">I38*(I10)</f>
        <v>164.04570000000001</v>
      </c>
      <c r="J37" s="200">
        <f ca="1">J38*(J10)</f>
        <v>213.24724200000003</v>
      </c>
      <c r="K37" s="200">
        <f ca="1">K38*(K10)</f>
        <v>277.22141460000006</v>
      </c>
      <c r="L37" s="200">
        <f ca="1">L38*(L10)</f>
        <v>360.38783898000008</v>
      </c>
      <c r="M37" s="200">
        <f ca="1">M38*(M10)</f>
        <v>468.5041906740002</v>
      </c>
      <c r="N37" s="173"/>
      <c r="O37" s="173"/>
      <c r="P37" s="549"/>
      <c r="Q37" s="550"/>
      <c r="R37" s="550"/>
      <c r="S37" s="550"/>
      <c r="T37" s="551"/>
      <c r="U37" s="173"/>
      <c r="V37" s="173"/>
      <c r="W37" s="173"/>
      <c r="X37" s="173"/>
      <c r="Y37" s="173"/>
      <c r="Z37" s="173"/>
      <c r="AA37" s="173"/>
    </row>
    <row r="38" spans="1:27" ht="12.75" customHeight="1" thickBot="1">
      <c r="A38" s="172"/>
      <c r="B38" s="172"/>
      <c r="C38" s="179" t="s">
        <v>37</v>
      </c>
      <c r="D38" s="180"/>
      <c r="E38" s="180"/>
      <c r="F38" s="181">
        <f>F37/(F19+F10)</f>
        <v>0</v>
      </c>
      <c r="G38" s="181">
        <f>G37/(G19+G10)</f>
        <v>0</v>
      </c>
      <c r="H38" s="181">
        <f>H37/(H19+H10)</f>
        <v>0</v>
      </c>
      <c r="I38" s="181">
        <f t="shared" ref="I38:M38" ca="1" si="10">+OFFSET(I38,$D$4,)</f>
        <v>3.9E-2</v>
      </c>
      <c r="J38" s="181">
        <f t="shared" ca="1" si="10"/>
        <v>3.9E-2</v>
      </c>
      <c r="K38" s="181">
        <f t="shared" ca="1" si="10"/>
        <v>3.9E-2</v>
      </c>
      <c r="L38" s="181">
        <f t="shared" ca="1" si="10"/>
        <v>3.9E-2</v>
      </c>
      <c r="M38" s="182">
        <f t="shared" ca="1" si="10"/>
        <v>3.9E-2</v>
      </c>
      <c r="N38" s="173"/>
      <c r="O38" s="173"/>
      <c r="P38" s="552"/>
      <c r="Q38" s="553"/>
      <c r="R38" s="553"/>
      <c r="S38" s="553"/>
      <c r="T38" s="554"/>
      <c r="U38" s="173"/>
      <c r="V38" s="173"/>
      <c r="W38" s="173"/>
      <c r="X38" s="173"/>
      <c r="Y38" s="173"/>
      <c r="Z38" s="173"/>
      <c r="AA38" s="173"/>
    </row>
    <row r="39" spans="1:27" ht="12.75" customHeight="1">
      <c r="A39" s="172"/>
      <c r="B39" s="172"/>
      <c r="C39" s="183" t="s">
        <v>8</v>
      </c>
      <c r="D39" s="184"/>
      <c r="E39" s="181"/>
      <c r="G39" s="185"/>
      <c r="H39" s="185"/>
      <c r="I39" s="205">
        <v>3.5000000000000003E-2</v>
      </c>
      <c r="J39" s="205">
        <v>3.5000000000000003E-2</v>
      </c>
      <c r="K39" s="205">
        <v>3.5000000000000003E-2</v>
      </c>
      <c r="L39" s="205">
        <v>3.5000000000000003E-2</v>
      </c>
      <c r="M39" s="205">
        <v>3.5000000000000003E-2</v>
      </c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</row>
    <row r="40" spans="1:27" ht="12.75" customHeight="1" thickBot="1">
      <c r="A40" s="172"/>
      <c r="B40" s="172"/>
      <c r="C40" s="183" t="s">
        <v>9</v>
      </c>
      <c r="G40" s="185"/>
      <c r="H40" s="185"/>
      <c r="I40" s="205">
        <v>3.5000000000000003E-2</v>
      </c>
      <c r="J40" s="205">
        <v>3.5000000000000003E-2</v>
      </c>
      <c r="K40" s="205">
        <v>3.5000000000000003E-2</v>
      </c>
      <c r="L40" s="205">
        <v>3.5000000000000003E-2</v>
      </c>
      <c r="M40" s="205">
        <v>3.5000000000000003E-2</v>
      </c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</row>
    <row r="41" spans="1:27" ht="12.75" customHeight="1" thickBot="1">
      <c r="A41" s="172"/>
      <c r="B41" s="172"/>
      <c r="C41" s="186" t="s">
        <v>11</v>
      </c>
      <c r="D41" s="187"/>
      <c r="E41" s="187"/>
      <c r="F41" s="187"/>
      <c r="G41" s="188"/>
      <c r="H41" s="188"/>
      <c r="I41" s="205">
        <v>3.9E-2</v>
      </c>
      <c r="J41" s="205">
        <v>3.9E-2</v>
      </c>
      <c r="K41" s="205">
        <v>3.9E-2</v>
      </c>
      <c r="L41" s="205">
        <v>3.9E-2</v>
      </c>
      <c r="M41" s="205">
        <v>3.9E-2</v>
      </c>
      <c r="N41" s="173"/>
      <c r="O41" s="173"/>
      <c r="P41" s="546"/>
      <c r="Q41" s="547"/>
      <c r="R41" s="547"/>
      <c r="S41" s="547"/>
      <c r="T41" s="548"/>
      <c r="U41" s="173"/>
      <c r="V41" s="173"/>
      <c r="W41" s="173"/>
      <c r="X41" s="173"/>
      <c r="Y41" s="173"/>
      <c r="Z41" s="173"/>
      <c r="AA41" s="173"/>
    </row>
    <row r="42" spans="1:27" ht="12.75" customHeight="1" thickBot="1">
      <c r="A42" s="172"/>
      <c r="B42" s="172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549"/>
      <c r="Q42" s="550"/>
      <c r="R42" s="550"/>
      <c r="S42" s="550"/>
      <c r="T42" s="551"/>
      <c r="U42" s="173"/>
      <c r="V42" s="173"/>
      <c r="W42" s="173"/>
      <c r="X42" s="173"/>
      <c r="Y42" s="173"/>
      <c r="Z42" s="173"/>
      <c r="AA42" s="173"/>
    </row>
    <row r="43" spans="1:27" ht="12.75" customHeight="1">
      <c r="A43" s="172"/>
      <c r="B43" s="172"/>
      <c r="C43" s="177" t="s">
        <v>39</v>
      </c>
      <c r="D43" s="178"/>
      <c r="E43" s="178"/>
      <c r="F43" s="199">
        <v>243.6</v>
      </c>
      <c r="G43" s="199">
        <v>253.3</v>
      </c>
      <c r="H43" s="199">
        <v>292</v>
      </c>
      <c r="I43" s="200">
        <f ca="1">I44*I10</f>
        <v>504.75600000000003</v>
      </c>
      <c r="J43" s="200">
        <f ca="1">J44*J10</f>
        <v>656.1453600000001</v>
      </c>
      <c r="K43" s="200">
        <f ca="1">K44*K10</f>
        <v>852.98896800000023</v>
      </c>
      <c r="L43" s="200">
        <f ca="1">L44*L10</f>
        <v>1108.8856584000002</v>
      </c>
      <c r="M43" s="200">
        <f ca="1">M44*M10</f>
        <v>1441.5513559200006</v>
      </c>
      <c r="N43" s="173"/>
      <c r="O43" s="173"/>
      <c r="P43" s="549"/>
      <c r="Q43" s="550"/>
      <c r="R43" s="550"/>
      <c r="S43" s="550"/>
      <c r="T43" s="551"/>
      <c r="U43" s="173"/>
      <c r="V43" s="173"/>
      <c r="W43" s="173"/>
      <c r="X43" s="173"/>
      <c r="Y43" s="173"/>
      <c r="Z43" s="173"/>
      <c r="AA43" s="173"/>
    </row>
    <row r="44" spans="1:27" ht="12.75" customHeight="1" thickBot="1">
      <c r="A44" s="172"/>
      <c r="B44" s="172"/>
      <c r="C44" s="179" t="s">
        <v>37</v>
      </c>
      <c r="D44" s="180"/>
      <c r="E44" s="180"/>
      <c r="F44" s="181"/>
      <c r="G44" s="181">
        <f>G43/(G19+G10)</f>
        <v>9.6694600806947681E-2</v>
      </c>
      <c r="H44" s="181">
        <f>H43/(H19+H10)</f>
        <v>8.7981639776661708E-2</v>
      </c>
      <c r="I44" s="181">
        <f t="shared" ref="I44:M44" ca="1" si="11">+OFFSET(I44,$D$4,)</f>
        <v>0.12</v>
      </c>
      <c r="J44" s="181">
        <f t="shared" ca="1" si="11"/>
        <v>0.12</v>
      </c>
      <c r="K44" s="181">
        <f t="shared" ca="1" si="11"/>
        <v>0.12</v>
      </c>
      <c r="L44" s="181">
        <f t="shared" ca="1" si="11"/>
        <v>0.12</v>
      </c>
      <c r="M44" s="182">
        <f t="shared" ca="1" si="11"/>
        <v>0.12</v>
      </c>
      <c r="N44" s="173"/>
      <c r="O44" s="173"/>
      <c r="P44" s="552"/>
      <c r="Q44" s="553"/>
      <c r="R44" s="553"/>
      <c r="S44" s="553"/>
      <c r="T44" s="554"/>
      <c r="U44" s="173"/>
      <c r="V44" s="173"/>
      <c r="W44" s="173"/>
      <c r="X44" s="173"/>
      <c r="Y44" s="173"/>
      <c r="Z44" s="173"/>
      <c r="AA44" s="173"/>
    </row>
    <row r="45" spans="1:27" ht="12.75" customHeight="1">
      <c r="A45" s="172"/>
      <c r="B45" s="172"/>
      <c r="C45" s="183" t="s">
        <v>8</v>
      </c>
      <c r="D45" s="184"/>
      <c r="E45" s="181"/>
      <c r="G45" s="185"/>
      <c r="H45" s="185"/>
      <c r="I45" s="205">
        <v>0.08</v>
      </c>
      <c r="J45" s="205">
        <v>0.08</v>
      </c>
      <c r="K45" s="205">
        <v>0.08</v>
      </c>
      <c r="L45" s="205">
        <v>0.08</v>
      </c>
      <c r="M45" s="205">
        <v>0.08</v>
      </c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</row>
    <row r="46" spans="1:27" ht="12.75" customHeight="1" thickBot="1">
      <c r="A46" s="172"/>
      <c r="B46" s="172"/>
      <c r="C46" s="183" t="s">
        <v>9</v>
      </c>
      <c r="G46" s="185"/>
      <c r="H46" s="185"/>
      <c r="I46" s="205">
        <v>0.06</v>
      </c>
      <c r="J46" s="205">
        <v>0.06</v>
      </c>
      <c r="K46" s="205">
        <v>0.06</v>
      </c>
      <c r="L46" s="205">
        <v>0.06</v>
      </c>
      <c r="M46" s="205">
        <v>0.06</v>
      </c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</row>
    <row r="47" spans="1:27" ht="12.75" customHeight="1" thickBot="1">
      <c r="A47" s="172"/>
      <c r="B47" s="172"/>
      <c r="C47" s="186" t="s">
        <v>11</v>
      </c>
      <c r="D47" s="187"/>
      <c r="E47" s="187"/>
      <c r="F47" s="187"/>
      <c r="G47" s="188"/>
      <c r="H47" s="188"/>
      <c r="I47" s="205">
        <v>0.12</v>
      </c>
      <c r="J47" s="205">
        <v>0.12</v>
      </c>
      <c r="K47" s="205">
        <v>0.12</v>
      </c>
      <c r="L47" s="205">
        <v>0.12</v>
      </c>
      <c r="M47" s="205">
        <v>0.12</v>
      </c>
      <c r="N47" s="173"/>
      <c r="O47" s="173"/>
      <c r="P47" s="546"/>
      <c r="Q47" s="547"/>
      <c r="R47" s="547"/>
      <c r="S47" s="547"/>
      <c r="T47" s="548"/>
      <c r="U47" s="173"/>
      <c r="V47" s="173"/>
      <c r="W47" s="173"/>
      <c r="X47" s="173"/>
      <c r="Y47" s="173"/>
      <c r="Z47" s="173"/>
      <c r="AA47" s="173"/>
    </row>
    <row r="48" spans="1:27" ht="12.75" customHeight="1" thickBot="1">
      <c r="A48" s="172"/>
      <c r="B48" s="172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549"/>
      <c r="Q48" s="550"/>
      <c r="R48" s="550"/>
      <c r="S48" s="550"/>
      <c r="T48" s="551"/>
      <c r="U48" s="173"/>
      <c r="V48" s="173"/>
      <c r="W48" s="173"/>
      <c r="X48" s="173"/>
      <c r="Y48" s="173"/>
      <c r="Z48" s="173"/>
      <c r="AA48" s="173"/>
    </row>
    <row r="49" spans="1:27" ht="12.75" customHeight="1">
      <c r="A49" s="172"/>
      <c r="B49" s="172"/>
      <c r="C49" s="177" t="s">
        <v>40</v>
      </c>
      <c r="D49" s="178"/>
      <c r="E49" s="178"/>
      <c r="F49" s="199"/>
      <c r="G49" s="199"/>
      <c r="H49" s="199"/>
      <c r="I49" s="200">
        <f ca="1">I50*I10</f>
        <v>84.126000000000005</v>
      </c>
      <c r="J49" s="200">
        <f ca="1">J50*J10</f>
        <v>109.35756000000002</v>
      </c>
      <c r="K49" s="200">
        <f ca="1">K50*K10</f>
        <v>142.16482800000003</v>
      </c>
      <c r="L49" s="200">
        <f ca="1">L50*L10</f>
        <v>184.81427640000007</v>
      </c>
      <c r="M49" s="200">
        <f ca="1">M50*M10</f>
        <v>240.2585593200001</v>
      </c>
      <c r="N49" s="173"/>
      <c r="O49" s="173"/>
      <c r="P49" s="549"/>
      <c r="Q49" s="550"/>
      <c r="R49" s="550"/>
      <c r="S49" s="550"/>
      <c r="T49" s="551"/>
      <c r="U49" s="173"/>
      <c r="V49" s="173"/>
      <c r="W49" s="173"/>
      <c r="X49" s="173"/>
      <c r="Y49" s="173"/>
      <c r="Z49" s="173"/>
      <c r="AA49" s="173"/>
    </row>
    <row r="50" spans="1:27" ht="12.75" customHeight="1" thickBot="1">
      <c r="A50" s="172"/>
      <c r="B50" s="172"/>
      <c r="C50" s="179" t="s">
        <v>37</v>
      </c>
      <c r="D50" s="180"/>
      <c r="E50" s="180"/>
      <c r="F50" s="181">
        <f>F49/(F19+F10)</f>
        <v>0</v>
      </c>
      <c r="G50" s="181">
        <f>G49/(G19+G10)</f>
        <v>0</v>
      </c>
      <c r="H50" s="181">
        <f>H49/(H19+H10)</f>
        <v>0</v>
      </c>
      <c r="I50" s="181">
        <f t="shared" ref="I50:M50" ca="1" si="12">+OFFSET(I50,$D$4,)</f>
        <v>0.02</v>
      </c>
      <c r="J50" s="181">
        <f t="shared" ca="1" si="12"/>
        <v>0.02</v>
      </c>
      <c r="K50" s="181">
        <f t="shared" ca="1" si="12"/>
        <v>0.02</v>
      </c>
      <c r="L50" s="181">
        <f t="shared" ca="1" si="12"/>
        <v>0.02</v>
      </c>
      <c r="M50" s="182">
        <f t="shared" ca="1" si="12"/>
        <v>0.02</v>
      </c>
      <c r="N50" s="173"/>
      <c r="O50" s="173"/>
      <c r="P50" s="552"/>
      <c r="Q50" s="553"/>
      <c r="R50" s="553"/>
      <c r="S50" s="553"/>
      <c r="T50" s="554"/>
      <c r="U50" s="173"/>
      <c r="V50" s="173"/>
      <c r="W50" s="173"/>
      <c r="X50" s="173"/>
      <c r="Y50" s="173"/>
      <c r="Z50" s="173"/>
      <c r="AA50" s="173"/>
    </row>
    <row r="51" spans="1:27" ht="12.75" customHeight="1">
      <c r="A51" s="172"/>
      <c r="B51" s="172"/>
      <c r="C51" s="183" t="s">
        <v>8</v>
      </c>
      <c r="D51" s="184"/>
      <c r="E51" s="181"/>
      <c r="G51" s="185"/>
      <c r="H51" s="185"/>
      <c r="I51" s="205">
        <v>0.01</v>
      </c>
      <c r="J51" s="205">
        <v>0.01</v>
      </c>
      <c r="K51" s="205">
        <v>0.01</v>
      </c>
      <c r="L51" s="205">
        <v>0.01</v>
      </c>
      <c r="M51" s="205">
        <v>0.01</v>
      </c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</row>
    <row r="52" spans="1:27" ht="12.75" customHeight="1" thickBot="1">
      <c r="A52" s="172"/>
      <c r="B52" s="172"/>
      <c r="C52" s="183" t="s">
        <v>9</v>
      </c>
      <c r="G52" s="185"/>
      <c r="H52" s="185"/>
      <c r="I52" s="205">
        <v>5.0000000000000001E-3</v>
      </c>
      <c r="J52" s="205">
        <v>5.0000000000000001E-3</v>
      </c>
      <c r="K52" s="205">
        <v>5.0000000000000001E-3</v>
      </c>
      <c r="L52" s="205">
        <v>5.0000000000000001E-3</v>
      </c>
      <c r="M52" s="205">
        <v>5.0000000000000001E-3</v>
      </c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</row>
    <row r="53" spans="1:27" ht="12.75" customHeight="1" thickBot="1">
      <c r="A53" s="172"/>
      <c r="B53" s="172"/>
      <c r="C53" s="186" t="s">
        <v>11</v>
      </c>
      <c r="D53" s="187"/>
      <c r="E53" s="187"/>
      <c r="F53" s="187"/>
      <c r="G53" s="188"/>
      <c r="H53" s="188"/>
      <c r="I53" s="205">
        <v>0.02</v>
      </c>
      <c r="J53" s="205">
        <v>0.02</v>
      </c>
      <c r="K53" s="205">
        <v>0.02</v>
      </c>
      <c r="L53" s="205">
        <v>0.02</v>
      </c>
      <c r="M53" s="205">
        <v>0.02</v>
      </c>
      <c r="N53" s="173"/>
      <c r="O53" s="173"/>
      <c r="P53" s="555"/>
      <c r="Q53" s="547"/>
      <c r="R53" s="547"/>
      <c r="S53" s="547"/>
      <c r="T53" s="548"/>
      <c r="U53" s="173"/>
      <c r="V53" s="173"/>
      <c r="W53" s="173"/>
      <c r="X53" s="173"/>
      <c r="Y53" s="173"/>
      <c r="Z53" s="173"/>
      <c r="AA53" s="173"/>
    </row>
    <row r="54" spans="1:27" ht="12.75" customHeight="1" thickBot="1">
      <c r="A54" s="172"/>
      <c r="B54" s="172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549"/>
      <c r="Q54" s="550"/>
      <c r="R54" s="550"/>
      <c r="S54" s="550"/>
      <c r="T54" s="551"/>
      <c r="U54" s="173"/>
      <c r="V54" s="173"/>
      <c r="W54" s="173"/>
      <c r="X54" s="173"/>
      <c r="Y54" s="173"/>
      <c r="Z54" s="173"/>
      <c r="AA54" s="173"/>
    </row>
    <row r="55" spans="1:27" ht="12.75" customHeight="1">
      <c r="A55" s="172"/>
      <c r="B55" s="172"/>
      <c r="C55" s="177" t="s">
        <v>41</v>
      </c>
      <c r="D55" s="178"/>
      <c r="E55" s="178"/>
      <c r="F55" s="199"/>
      <c r="G55" s="199"/>
      <c r="H55" s="199"/>
      <c r="I55" s="200">
        <f ca="1">I56*I10</f>
        <v>-84.126000000000005</v>
      </c>
      <c r="J55" s="200">
        <f ca="1">J56*J10</f>
        <v>-109.35756000000002</v>
      </c>
      <c r="K55" s="200">
        <f ca="1">K56*K10</f>
        <v>-142.16482800000003</v>
      </c>
      <c r="L55" s="200">
        <f ca="1">L56*L10</f>
        <v>-184.81427640000007</v>
      </c>
      <c r="M55" s="200">
        <f ca="1">M56*M10</f>
        <v>-240.2585593200001</v>
      </c>
      <c r="N55" s="173"/>
      <c r="O55" s="173"/>
      <c r="P55" s="549"/>
      <c r="Q55" s="550"/>
      <c r="R55" s="550"/>
      <c r="S55" s="550"/>
      <c r="T55" s="551"/>
      <c r="U55" s="173"/>
      <c r="V55" s="173"/>
      <c r="W55" s="173"/>
      <c r="X55" s="173"/>
      <c r="Y55" s="173"/>
      <c r="Z55" s="173"/>
      <c r="AA55" s="173"/>
    </row>
    <row r="56" spans="1:27" ht="12.75" customHeight="1" thickBot="1">
      <c r="A56" s="172"/>
      <c r="B56" s="172"/>
      <c r="C56" s="179" t="s">
        <v>37</v>
      </c>
      <c r="D56" s="180"/>
      <c r="E56" s="180"/>
      <c r="F56" s="181">
        <f>F55/(F10+F19)</f>
        <v>0</v>
      </c>
      <c r="G56" s="181">
        <f>G55/(G10+G19)</f>
        <v>0</v>
      </c>
      <c r="H56" s="181">
        <f>H55/(H10+H19)</f>
        <v>0</v>
      </c>
      <c r="I56" s="181">
        <f t="shared" ref="I56:M56" ca="1" si="13">+OFFSET(I56,$D$4,)</f>
        <v>-0.02</v>
      </c>
      <c r="J56" s="181">
        <f t="shared" ca="1" si="13"/>
        <v>-0.02</v>
      </c>
      <c r="K56" s="181">
        <f t="shared" ca="1" si="13"/>
        <v>-0.02</v>
      </c>
      <c r="L56" s="181">
        <f t="shared" ca="1" si="13"/>
        <v>-0.02</v>
      </c>
      <c r="M56" s="182">
        <f t="shared" ca="1" si="13"/>
        <v>-0.02</v>
      </c>
      <c r="N56" s="173"/>
      <c r="O56" s="173"/>
      <c r="P56" s="552"/>
      <c r="Q56" s="553"/>
      <c r="R56" s="553"/>
      <c r="S56" s="553"/>
      <c r="T56" s="554"/>
      <c r="U56" s="173"/>
      <c r="V56" s="173"/>
      <c r="W56" s="173"/>
      <c r="X56" s="173"/>
      <c r="Y56" s="173"/>
      <c r="Z56" s="173"/>
      <c r="AA56" s="173"/>
    </row>
    <row r="57" spans="1:27" ht="12.75" customHeight="1">
      <c r="A57" s="172"/>
      <c r="B57" s="172"/>
      <c r="C57" s="183" t="s">
        <v>8</v>
      </c>
      <c r="D57" s="184"/>
      <c r="E57" s="181"/>
      <c r="G57" s="185"/>
      <c r="H57" s="185"/>
      <c r="I57" s="204">
        <v>0.01</v>
      </c>
      <c r="J57" s="204">
        <v>0.01</v>
      </c>
      <c r="K57" s="204">
        <v>0.01</v>
      </c>
      <c r="L57" s="204">
        <v>0.01</v>
      </c>
      <c r="M57" s="204">
        <v>0.01</v>
      </c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</row>
    <row r="58" spans="1:27" ht="12.75" customHeight="1">
      <c r="A58" s="172"/>
      <c r="B58" s="172"/>
      <c r="C58" s="183" t="s">
        <v>9</v>
      </c>
      <c r="G58" s="185"/>
      <c r="H58" s="185"/>
      <c r="I58" s="204">
        <v>0.02</v>
      </c>
      <c r="J58" s="204">
        <v>0.02</v>
      </c>
      <c r="K58" s="204">
        <v>0.02</v>
      </c>
      <c r="L58" s="204">
        <v>0.02</v>
      </c>
      <c r="M58" s="204">
        <v>0.02</v>
      </c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</row>
    <row r="59" spans="1:27" ht="12.75" customHeight="1" thickBot="1">
      <c r="A59" s="172"/>
      <c r="B59" s="172"/>
      <c r="C59" s="186" t="s">
        <v>11</v>
      </c>
      <c r="D59" s="187"/>
      <c r="E59" s="187"/>
      <c r="F59" s="187"/>
      <c r="G59" s="188"/>
      <c r="H59" s="188"/>
      <c r="I59" s="204">
        <v>-0.02</v>
      </c>
      <c r="J59" s="204">
        <v>-0.02</v>
      </c>
      <c r="K59" s="204">
        <v>-0.02</v>
      </c>
      <c r="L59" s="204">
        <v>-0.02</v>
      </c>
      <c r="M59" s="204">
        <v>-0.02</v>
      </c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</row>
    <row r="60" spans="1:27" ht="12.75" customHeight="1" thickBot="1">
      <c r="A60" s="172"/>
      <c r="B60" s="172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</row>
    <row r="61" spans="1:27" ht="12.75" customHeight="1">
      <c r="A61" s="172"/>
      <c r="B61" s="172"/>
      <c r="C61" s="177" t="s">
        <v>42</v>
      </c>
      <c r="D61" s="178"/>
      <c r="E61" s="178"/>
      <c r="F61" s="199"/>
      <c r="G61" s="199"/>
      <c r="H61" s="199"/>
      <c r="I61" s="200">
        <f ca="1">(I62*I31/365)</f>
        <v>57.044342465753431</v>
      </c>
      <c r="J61" s="200">
        <f t="shared" ref="J61:M61" ca="1" si="14">(J62*J31/365)</f>
        <v>74.153413972602749</v>
      </c>
      <c r="K61" s="200">
        <f t="shared" ca="1" si="14"/>
        <v>96.399438164383568</v>
      </c>
      <c r="L61" s="200">
        <f t="shared" ca="1" si="14"/>
        <v>125.31926961369867</v>
      </c>
      <c r="M61" s="200">
        <f t="shared" ca="1" si="14"/>
        <v>162.91505049780829</v>
      </c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</row>
    <row r="62" spans="1:27" ht="12.75" customHeight="1">
      <c r="A62" s="172"/>
      <c r="B62" s="172"/>
      <c r="C62" s="179" t="s">
        <v>43</v>
      </c>
      <c r="D62" s="180"/>
      <c r="E62" s="180"/>
      <c r="F62" s="206">
        <f>+(F61/(F10+F19))*365</f>
        <v>0</v>
      </c>
      <c r="G62" s="206">
        <f>+(G61/(G10+G19))*365</f>
        <v>0</v>
      </c>
      <c r="H62" s="206">
        <f>+(H61/(H10+H19))*365</f>
        <v>0</v>
      </c>
      <c r="I62" s="206">
        <f t="shared" ref="I62:M62" ca="1" si="15">+OFFSET(I62,$D$4,)</f>
        <v>55</v>
      </c>
      <c r="J62" s="206">
        <f t="shared" ca="1" si="15"/>
        <v>55</v>
      </c>
      <c r="K62" s="206">
        <f t="shared" ca="1" si="15"/>
        <v>55</v>
      </c>
      <c r="L62" s="206">
        <f t="shared" ca="1" si="15"/>
        <v>55</v>
      </c>
      <c r="M62" s="206">
        <f t="shared" ca="1" si="15"/>
        <v>55</v>
      </c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</row>
    <row r="63" spans="1:27" ht="12.75" customHeight="1">
      <c r="A63" s="172"/>
      <c r="B63" s="172"/>
      <c r="C63" s="183" t="s">
        <v>8</v>
      </c>
      <c r="D63" s="184"/>
      <c r="E63" s="181"/>
      <c r="G63" s="185"/>
      <c r="H63" s="185"/>
      <c r="I63" s="207">
        <v>45</v>
      </c>
      <c r="J63" s="207">
        <v>45</v>
      </c>
      <c r="K63" s="207">
        <v>45</v>
      </c>
      <c r="L63" s="207">
        <v>45</v>
      </c>
      <c r="M63" s="207">
        <v>45</v>
      </c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</row>
    <row r="64" spans="1:27" ht="12.75" customHeight="1">
      <c r="A64" s="172"/>
      <c r="B64" s="172"/>
      <c r="C64" s="183" t="s">
        <v>9</v>
      </c>
      <c r="G64" s="185"/>
      <c r="H64" s="185"/>
      <c r="I64" s="207">
        <v>35</v>
      </c>
      <c r="J64" s="207">
        <v>35</v>
      </c>
      <c r="K64" s="207">
        <v>35</v>
      </c>
      <c r="L64" s="207">
        <v>35</v>
      </c>
      <c r="M64" s="207">
        <v>35</v>
      </c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</row>
    <row r="65" spans="1:27" ht="12.75" customHeight="1" thickBot="1">
      <c r="A65" s="172"/>
      <c r="B65" s="172"/>
      <c r="C65" s="186" t="s">
        <v>11</v>
      </c>
      <c r="D65" s="187"/>
      <c r="E65" s="187"/>
      <c r="F65" s="187"/>
      <c r="G65" s="188"/>
      <c r="H65" s="188"/>
      <c r="I65" s="208">
        <v>55</v>
      </c>
      <c r="J65" s="208">
        <v>55</v>
      </c>
      <c r="K65" s="208">
        <v>55</v>
      </c>
      <c r="L65" s="208">
        <v>55</v>
      </c>
      <c r="M65" s="208">
        <v>55</v>
      </c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</row>
    <row r="66" spans="1:27" ht="12.75" customHeight="1" thickBot="1">
      <c r="A66" s="172"/>
      <c r="B66" s="172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</row>
    <row r="67" spans="1:27" ht="12.75" customHeight="1">
      <c r="A67" s="172"/>
      <c r="B67" s="172"/>
      <c r="C67" s="177" t="s">
        <v>44</v>
      </c>
      <c r="D67" s="178"/>
      <c r="E67" s="178"/>
      <c r="F67" s="199"/>
      <c r="G67" s="199"/>
      <c r="H67" s="199"/>
      <c r="I67" s="200">
        <f ca="1">I10*I68</f>
        <v>168.25200000000001</v>
      </c>
      <c r="J67" s="200">
        <f ca="1">J10*J68</f>
        <v>218.71512000000004</v>
      </c>
      <c r="K67" s="200">
        <f ca="1">K10*K68</f>
        <v>284.32965600000006</v>
      </c>
      <c r="L67" s="200">
        <f ca="1">L10*L68</f>
        <v>369.62855280000014</v>
      </c>
      <c r="M67" s="200">
        <f ca="1">M10*M68</f>
        <v>480.51711864000021</v>
      </c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</row>
    <row r="68" spans="1:27" ht="12.75" customHeight="1">
      <c r="A68" s="172"/>
      <c r="B68" s="172"/>
      <c r="C68" s="179" t="s">
        <v>37</v>
      </c>
      <c r="D68" s="180"/>
      <c r="E68" s="180"/>
      <c r="F68" s="201">
        <f>F67/(F10+F19)</f>
        <v>0</v>
      </c>
      <c r="G68" s="201">
        <f>G67/(G10+G19)</f>
        <v>0</v>
      </c>
      <c r="H68" s="201">
        <f>H67/(H10+H19)</f>
        <v>0</v>
      </c>
      <c r="I68" s="201">
        <f t="shared" ref="I68:M68" ca="1" si="16">+OFFSET(I68,$D$4,)</f>
        <v>0.04</v>
      </c>
      <c r="J68" s="201">
        <f t="shared" ca="1" si="16"/>
        <v>0.04</v>
      </c>
      <c r="K68" s="201">
        <f t="shared" ca="1" si="16"/>
        <v>0.04</v>
      </c>
      <c r="L68" s="201">
        <f t="shared" ca="1" si="16"/>
        <v>0.04</v>
      </c>
      <c r="M68" s="201">
        <f t="shared" ca="1" si="16"/>
        <v>0.04</v>
      </c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</row>
    <row r="69" spans="1:27" ht="12.75" customHeight="1">
      <c r="A69" s="172"/>
      <c r="B69" s="172"/>
      <c r="C69" s="183" t="s">
        <v>8</v>
      </c>
      <c r="D69" s="184"/>
      <c r="E69" s="181"/>
      <c r="G69" s="185"/>
      <c r="H69" s="185"/>
      <c r="I69" s="205">
        <v>2.5000000000000001E-2</v>
      </c>
      <c r="J69" s="205">
        <v>2.5000000000000001E-2</v>
      </c>
      <c r="K69" s="205">
        <v>2.5000000000000001E-2</v>
      </c>
      <c r="L69" s="205">
        <v>2.5000000000000001E-2</v>
      </c>
      <c r="M69" s="205">
        <v>2.5000000000000001E-2</v>
      </c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</row>
    <row r="70" spans="1:27" ht="12.75" customHeight="1">
      <c r="A70" s="172"/>
      <c r="B70" s="172"/>
      <c r="C70" s="183" t="s">
        <v>9</v>
      </c>
      <c r="G70" s="185"/>
      <c r="H70" s="185"/>
      <c r="I70" s="205">
        <v>1.4999999999999999E-2</v>
      </c>
      <c r="J70" s="205">
        <v>1.4999999999999999E-2</v>
      </c>
      <c r="K70" s="205">
        <v>1.4999999999999999E-2</v>
      </c>
      <c r="L70" s="205">
        <v>1.4999999999999999E-2</v>
      </c>
      <c r="M70" s="205">
        <v>1.4999999999999999E-2</v>
      </c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</row>
    <row r="71" spans="1:27" ht="12.75" customHeight="1" thickBot="1">
      <c r="A71" s="172"/>
      <c r="B71" s="172"/>
      <c r="C71" s="186" t="s">
        <v>11</v>
      </c>
      <c r="D71" s="187"/>
      <c r="E71" s="187"/>
      <c r="F71" s="187"/>
      <c r="G71" s="188"/>
      <c r="H71" s="188"/>
      <c r="I71" s="209">
        <v>0.04</v>
      </c>
      <c r="J71" s="209">
        <v>0.04</v>
      </c>
      <c r="K71" s="209">
        <v>0.04</v>
      </c>
      <c r="L71" s="209">
        <v>0.04</v>
      </c>
      <c r="M71" s="209">
        <v>0.04</v>
      </c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</row>
    <row r="72" spans="1:27" ht="12.75" customHeight="1" thickBot="1">
      <c r="A72" s="172"/>
      <c r="B72" s="172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98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</row>
    <row r="73" spans="1:27" ht="12.75" customHeight="1">
      <c r="A73" s="172"/>
      <c r="B73" s="172"/>
      <c r="C73" s="177" t="s">
        <v>45</v>
      </c>
      <c r="D73" s="178"/>
      <c r="E73" s="178"/>
      <c r="F73" s="199"/>
      <c r="G73" s="199"/>
      <c r="H73" s="199"/>
      <c r="I73" s="200">
        <f ca="1">(I10*I74)</f>
        <v>105.15750000000001</v>
      </c>
      <c r="J73" s="200">
        <f ca="1">(J10*J74)</f>
        <v>136.69695000000002</v>
      </c>
      <c r="K73" s="200">
        <f ca="1">(K10*K74)</f>
        <v>177.70603500000004</v>
      </c>
      <c r="L73" s="200">
        <f ca="1">(L10*L74)</f>
        <v>231.01784550000008</v>
      </c>
      <c r="M73" s="200">
        <f ca="1">(M10*M74)</f>
        <v>300.32319915000011</v>
      </c>
      <c r="N73" s="198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</row>
    <row r="74" spans="1:27" ht="12.75" customHeight="1">
      <c r="A74" s="172"/>
      <c r="B74" s="172"/>
      <c r="C74" s="179" t="s">
        <v>37</v>
      </c>
      <c r="D74" s="180"/>
      <c r="E74" s="180"/>
      <c r="F74" s="201">
        <f t="shared" ref="F74:H74" si="17">F73/(F19+F25)</f>
        <v>0</v>
      </c>
      <c r="G74" s="201">
        <f t="shared" si="17"/>
        <v>0</v>
      </c>
      <c r="H74" s="201">
        <f t="shared" si="17"/>
        <v>0</v>
      </c>
      <c r="I74" s="201">
        <f t="shared" ref="I74:M74" ca="1" si="18">+OFFSET(I74,$D$4,)</f>
        <v>2.5000000000000001E-2</v>
      </c>
      <c r="J74" s="201">
        <f t="shared" ca="1" si="18"/>
        <v>2.5000000000000001E-2</v>
      </c>
      <c r="K74" s="201">
        <f t="shared" ca="1" si="18"/>
        <v>2.5000000000000001E-2</v>
      </c>
      <c r="L74" s="201">
        <f t="shared" ca="1" si="18"/>
        <v>2.5000000000000001E-2</v>
      </c>
      <c r="M74" s="201">
        <f t="shared" ca="1" si="18"/>
        <v>2.5000000000000001E-2</v>
      </c>
      <c r="N74" s="198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</row>
    <row r="75" spans="1:27" ht="12.75" customHeight="1">
      <c r="A75" s="172"/>
      <c r="B75" s="172"/>
      <c r="C75" s="183" t="s">
        <v>8</v>
      </c>
      <c r="D75" s="184"/>
      <c r="E75" s="181"/>
      <c r="G75" s="185"/>
      <c r="H75" s="185"/>
      <c r="I75" s="205">
        <v>7.4999999999999997E-2</v>
      </c>
      <c r="J75" s="205">
        <v>7.4999999999999997E-2</v>
      </c>
      <c r="K75" s="205">
        <v>7.4999999999999997E-2</v>
      </c>
      <c r="L75" s="205">
        <v>7.4999999999999997E-2</v>
      </c>
      <c r="M75" s="205">
        <v>7.4999999999999997E-2</v>
      </c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</row>
    <row r="76" spans="1:27" ht="12.75" customHeight="1">
      <c r="A76" s="172"/>
      <c r="B76" s="172"/>
      <c r="C76" s="183" t="s">
        <v>9</v>
      </c>
      <c r="G76" s="185"/>
      <c r="H76" s="185"/>
      <c r="I76" s="205">
        <v>0.125</v>
      </c>
      <c r="J76" s="205">
        <v>0.125</v>
      </c>
      <c r="K76" s="205">
        <v>0.125</v>
      </c>
      <c r="L76" s="205">
        <v>0.125</v>
      </c>
      <c r="M76" s="205">
        <v>0.125</v>
      </c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</row>
    <row r="77" spans="1:27" ht="12.75" customHeight="1" thickBot="1">
      <c r="A77" s="172"/>
      <c r="B77" s="172"/>
      <c r="C77" s="186" t="s">
        <v>11</v>
      </c>
      <c r="D77" s="187"/>
      <c r="E77" s="187"/>
      <c r="F77" s="187"/>
      <c r="G77" s="188"/>
      <c r="H77" s="188"/>
      <c r="I77" s="209">
        <v>2.5000000000000001E-2</v>
      </c>
      <c r="J77" s="209">
        <v>2.5000000000000001E-2</v>
      </c>
      <c r="K77" s="209">
        <v>2.5000000000000001E-2</v>
      </c>
      <c r="L77" s="209">
        <v>2.5000000000000001E-2</v>
      </c>
      <c r="M77" s="209">
        <v>2.5000000000000001E-2</v>
      </c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</row>
    <row r="78" spans="1:27" ht="12.75" customHeight="1" thickBot="1">
      <c r="A78" s="172"/>
      <c r="B78" s="172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</row>
    <row r="79" spans="1:27" ht="12.75" customHeight="1">
      <c r="A79" s="172"/>
      <c r="B79" s="172"/>
      <c r="C79" s="177" t="s">
        <v>46</v>
      </c>
      <c r="D79" s="178"/>
      <c r="E79" s="178"/>
      <c r="F79" s="199"/>
      <c r="G79" s="199"/>
      <c r="H79" s="199"/>
      <c r="I79" s="200"/>
      <c r="J79" s="200">
        <f ca="1">J80*J31/365</f>
        <v>47.188536164383571</v>
      </c>
      <c r="K79" s="200">
        <f t="shared" ref="K79:M79" ca="1" si="19">K80*K31/365</f>
        <v>61.345097013698641</v>
      </c>
      <c r="L79" s="200">
        <f t="shared" ca="1" si="19"/>
        <v>79.748626117808243</v>
      </c>
      <c r="M79" s="200">
        <f t="shared" ca="1" si="19"/>
        <v>103.67321395315072</v>
      </c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</row>
    <row r="80" spans="1:27" ht="12.75" customHeight="1">
      <c r="A80" s="172"/>
      <c r="B80" s="172"/>
      <c r="C80" s="179" t="s">
        <v>47</v>
      </c>
      <c r="D80" s="180"/>
      <c r="E80" s="180"/>
      <c r="F80" s="206">
        <v>27.4</v>
      </c>
      <c r="G80" s="206">
        <v>27.4</v>
      </c>
      <c r="H80" s="206">
        <v>27.4</v>
      </c>
      <c r="I80" s="206">
        <f t="shared" ref="I80:M80" ca="1" si="20">+OFFSET(I80,$D$4,)</f>
        <v>35</v>
      </c>
      <c r="J80" s="206">
        <f t="shared" ca="1" si="20"/>
        <v>35</v>
      </c>
      <c r="K80" s="206">
        <f t="shared" ca="1" si="20"/>
        <v>35</v>
      </c>
      <c r="L80" s="206">
        <f t="shared" ca="1" si="20"/>
        <v>35</v>
      </c>
      <c r="M80" s="206">
        <f t="shared" ca="1" si="20"/>
        <v>35</v>
      </c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</row>
    <row r="81" spans="1:27" ht="12.75" customHeight="1">
      <c r="A81" s="172"/>
      <c r="B81" s="172"/>
      <c r="C81" s="183" t="s">
        <v>8</v>
      </c>
      <c r="D81" s="184"/>
      <c r="E81" s="181"/>
      <c r="G81" s="185"/>
      <c r="H81" s="185"/>
      <c r="I81" s="207">
        <v>45</v>
      </c>
      <c r="J81" s="207">
        <v>45</v>
      </c>
      <c r="K81" s="207">
        <v>45</v>
      </c>
      <c r="L81" s="207">
        <v>45</v>
      </c>
      <c r="M81" s="207">
        <v>45</v>
      </c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</row>
    <row r="82" spans="1:27" ht="12.75" customHeight="1">
      <c r="A82" s="172"/>
      <c r="B82" s="172"/>
      <c r="C82" s="183" t="s">
        <v>9</v>
      </c>
      <c r="G82" s="185"/>
      <c r="H82" s="185"/>
      <c r="I82" s="207">
        <v>55</v>
      </c>
      <c r="J82" s="207">
        <v>55</v>
      </c>
      <c r="K82" s="207">
        <v>55</v>
      </c>
      <c r="L82" s="207">
        <v>55</v>
      </c>
      <c r="M82" s="207">
        <v>55</v>
      </c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</row>
    <row r="83" spans="1:27" ht="12.75" customHeight="1" thickBot="1">
      <c r="A83" s="172"/>
      <c r="B83" s="172"/>
      <c r="C83" s="186" t="s">
        <v>11</v>
      </c>
      <c r="D83" s="187"/>
      <c r="E83" s="187"/>
      <c r="F83" s="187"/>
      <c r="G83" s="188"/>
      <c r="H83" s="188"/>
      <c r="I83" s="207">
        <v>35</v>
      </c>
      <c r="J83" s="207">
        <v>35</v>
      </c>
      <c r="K83" s="207">
        <v>35</v>
      </c>
      <c r="L83" s="207">
        <v>35</v>
      </c>
      <c r="M83" s="207">
        <v>35</v>
      </c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</row>
    <row r="84" spans="1:27" ht="12.75" customHeight="1" thickBot="1">
      <c r="A84" s="172"/>
      <c r="B84" s="172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210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</row>
    <row r="85" spans="1:27" ht="12.75" customHeight="1">
      <c r="A85" s="172"/>
      <c r="B85" s="172"/>
      <c r="C85" s="177" t="s">
        <v>48</v>
      </c>
      <c r="D85" s="178"/>
      <c r="E85" s="178"/>
      <c r="F85" s="199">
        <v>540.29999999999995</v>
      </c>
      <c r="G85" s="199">
        <v>903.6</v>
      </c>
      <c r="H85" s="199">
        <v>1386.8</v>
      </c>
      <c r="I85" s="200">
        <f>I10*I86</f>
        <v>1526</v>
      </c>
      <c r="J85" s="200">
        <f ca="1">J10*J86</f>
        <v>1531.0058400000003</v>
      </c>
      <c r="K85" s="200">
        <f ca="1">K10*K86</f>
        <v>1421.6482800000003</v>
      </c>
      <c r="L85" s="200">
        <f ca="1">L10*L86</f>
        <v>1386.1070730000004</v>
      </c>
      <c r="M85" s="200">
        <f ca="1">M10*M86</f>
        <v>963.4368228732003</v>
      </c>
      <c r="N85" s="210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</row>
    <row r="86" spans="1:27" ht="12.75" customHeight="1">
      <c r="A86" s="172"/>
      <c r="B86" s="172"/>
      <c r="C86" s="179" t="s">
        <v>37</v>
      </c>
      <c r="D86" s="180"/>
      <c r="E86" s="180"/>
      <c r="F86" s="201">
        <f>'Three Statement Model'!D16</f>
        <v>0.18425180739326147</v>
      </c>
      <c r="G86" s="201">
        <f>'Three Statement Model'!E16</f>
        <v>0.34497766578856948</v>
      </c>
      <c r="H86" s="201">
        <f>'Three Statement Model'!F16</f>
        <v>0.41773639486530462</v>
      </c>
      <c r="I86" s="201">
        <f>'Three Statement Model'!G16</f>
        <v>0.36278914960891995</v>
      </c>
      <c r="J86" s="201">
        <f t="shared" ref="J86:M86" ca="1" si="21">+OFFSET(J86,$D$4,)</f>
        <v>0.28000000000000003</v>
      </c>
      <c r="K86" s="201">
        <f t="shared" ca="1" si="21"/>
        <v>0.2</v>
      </c>
      <c r="L86" s="201">
        <f t="shared" ca="1" si="21"/>
        <v>0.15</v>
      </c>
      <c r="M86" s="211">
        <f t="shared" ca="1" si="21"/>
        <v>8.0199999999999994E-2</v>
      </c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</row>
    <row r="87" spans="1:27" ht="12.75" customHeight="1">
      <c r="A87" s="172"/>
      <c r="B87" s="172"/>
      <c r="C87" s="183" t="s">
        <v>8</v>
      </c>
      <c r="D87" s="184"/>
      <c r="E87" s="181"/>
      <c r="G87" s="185"/>
      <c r="H87" s="185"/>
      <c r="I87" s="205">
        <v>0.36</v>
      </c>
      <c r="J87" s="205">
        <v>0.25</v>
      </c>
      <c r="K87" s="205">
        <v>0.18</v>
      </c>
      <c r="L87" s="205">
        <v>0.12</v>
      </c>
      <c r="M87" s="205">
        <v>8.0199999999999994E-2</v>
      </c>
      <c r="N87" s="173"/>
      <c r="O87" s="173"/>
      <c r="P87" s="173"/>
      <c r="Q87" s="212"/>
      <c r="R87" s="212"/>
      <c r="S87" s="212"/>
      <c r="T87" s="212"/>
      <c r="U87" s="212"/>
      <c r="V87" s="173"/>
      <c r="W87" s="173"/>
      <c r="X87" s="173"/>
      <c r="Y87" s="173"/>
      <c r="Z87" s="173"/>
      <c r="AA87" s="173"/>
    </row>
    <row r="88" spans="1:27" ht="12.75" customHeight="1">
      <c r="A88" s="172"/>
      <c r="B88" s="172"/>
      <c r="C88" s="183" t="s">
        <v>9</v>
      </c>
      <c r="G88" s="185"/>
      <c r="H88" s="185"/>
      <c r="I88" s="205">
        <v>0.3</v>
      </c>
      <c r="J88" s="205">
        <v>0.2</v>
      </c>
      <c r="K88" s="205">
        <v>0.15</v>
      </c>
      <c r="L88" s="205">
        <v>0.1</v>
      </c>
      <c r="M88" s="205">
        <v>8.0199999999999994E-2</v>
      </c>
      <c r="N88" s="173"/>
      <c r="O88" s="173"/>
      <c r="P88" s="173"/>
      <c r="Q88" s="212"/>
      <c r="R88" s="212"/>
      <c r="S88" s="212"/>
      <c r="T88" s="212"/>
      <c r="U88" s="212"/>
      <c r="V88" s="173"/>
      <c r="W88" s="173"/>
      <c r="X88" s="173"/>
      <c r="Y88" s="173"/>
      <c r="Z88" s="173"/>
      <c r="AA88" s="173"/>
    </row>
    <row r="89" spans="1:27" ht="12.75" customHeight="1" thickBot="1">
      <c r="A89" s="172"/>
      <c r="B89" s="172"/>
      <c r="C89" s="186" t="s">
        <v>11</v>
      </c>
      <c r="D89" s="187"/>
      <c r="E89" s="187"/>
      <c r="F89" s="187"/>
      <c r="G89" s="188"/>
      <c r="H89" s="188"/>
      <c r="I89" s="205">
        <v>0.4</v>
      </c>
      <c r="J89" s="205">
        <v>0.28000000000000003</v>
      </c>
      <c r="K89" s="205">
        <v>0.2</v>
      </c>
      <c r="L89" s="205">
        <v>0.15</v>
      </c>
      <c r="M89" s="205">
        <v>8.0199999999999994E-2</v>
      </c>
      <c r="N89" s="173" t="s">
        <v>49</v>
      </c>
      <c r="O89" s="173"/>
      <c r="P89" s="173"/>
      <c r="Q89" s="212"/>
      <c r="R89" s="212"/>
      <c r="S89" s="212"/>
      <c r="T89" s="212"/>
      <c r="U89" s="212"/>
      <c r="V89" s="173"/>
      <c r="W89" s="173"/>
      <c r="X89" s="173"/>
      <c r="Y89" s="173"/>
      <c r="Z89" s="173"/>
      <c r="AA89" s="173"/>
    </row>
    <row r="90" spans="1:27" ht="12.75" customHeight="1" thickBot="1">
      <c r="A90" s="172"/>
      <c r="B90" s="172"/>
      <c r="C90" s="189"/>
      <c r="G90" s="185"/>
      <c r="H90" s="185"/>
      <c r="I90" s="212"/>
      <c r="J90" s="212"/>
      <c r="K90" s="212"/>
      <c r="L90" s="212"/>
      <c r="M90" s="212"/>
      <c r="N90" s="198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</row>
    <row r="91" spans="1:27" ht="12.75" customHeight="1">
      <c r="A91" s="172"/>
      <c r="B91" s="172"/>
      <c r="C91" s="177" t="s">
        <v>50</v>
      </c>
      <c r="D91" s="178"/>
      <c r="E91" s="178"/>
      <c r="F91" s="199"/>
      <c r="G91" s="199"/>
      <c r="H91" s="199"/>
      <c r="I91" s="213">
        <f t="shared" ref="I91:M91" ca="1" si="22">+OFFSET(I91,$D$4,)</f>
        <v>8.1000000000000003E-2</v>
      </c>
      <c r="J91" s="213">
        <f t="shared" ca="1" si="22"/>
        <v>0.09</v>
      </c>
      <c r="K91" s="213">
        <f t="shared" ca="1" si="22"/>
        <v>0.12</v>
      </c>
      <c r="L91" s="213">
        <f t="shared" ca="1" si="22"/>
        <v>0.18</v>
      </c>
      <c r="M91" s="214">
        <f t="shared" ca="1" si="22"/>
        <v>0.21</v>
      </c>
      <c r="N91" s="198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</row>
    <row r="92" spans="1:27" ht="12.75" customHeight="1">
      <c r="A92" s="172"/>
      <c r="B92" s="172"/>
      <c r="C92" s="183" t="s">
        <v>8</v>
      </c>
      <c r="D92" s="184"/>
      <c r="E92" s="181"/>
      <c r="G92" s="185"/>
      <c r="H92" s="185"/>
      <c r="I92" s="205">
        <v>8.1000000000000003E-2</v>
      </c>
      <c r="J92" s="205">
        <v>0.12</v>
      </c>
      <c r="K92" s="205">
        <v>0.13</v>
      </c>
      <c r="L92" s="205">
        <v>0.15</v>
      </c>
      <c r="M92" s="205">
        <v>0.16</v>
      </c>
      <c r="N92" s="198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</row>
    <row r="93" spans="1:27" ht="12.75" customHeight="1">
      <c r="A93" s="172"/>
      <c r="B93" s="172"/>
      <c r="C93" s="183" t="s">
        <v>9</v>
      </c>
      <c r="G93" s="185"/>
      <c r="H93" s="185"/>
      <c r="I93" s="205">
        <v>8.1000000000000003E-2</v>
      </c>
      <c r="J93" s="205">
        <v>0.12</v>
      </c>
      <c r="K93" s="205">
        <v>0.12</v>
      </c>
      <c r="L93" s="205">
        <v>0.14000000000000001</v>
      </c>
      <c r="M93" s="205">
        <v>0.15</v>
      </c>
      <c r="N93" s="198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</row>
    <row r="94" spans="1:27" ht="12.75" customHeight="1" thickBot="1">
      <c r="A94" s="172"/>
      <c r="B94" s="172"/>
      <c r="C94" s="186" t="s">
        <v>11</v>
      </c>
      <c r="D94" s="187"/>
      <c r="E94" s="187"/>
      <c r="F94" s="187"/>
      <c r="G94" s="188"/>
      <c r="H94" s="188"/>
      <c r="I94" s="205">
        <v>8.1000000000000003E-2</v>
      </c>
      <c r="J94" s="205">
        <v>0.09</v>
      </c>
      <c r="K94" s="205">
        <v>0.12</v>
      </c>
      <c r="L94" s="205">
        <v>0.18</v>
      </c>
      <c r="M94" s="205">
        <v>0.21</v>
      </c>
      <c r="N94" s="198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</row>
    <row r="95" spans="1:27" ht="12.75" customHeight="1" thickBot="1">
      <c r="A95" s="172"/>
      <c r="B95" s="172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98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</row>
    <row r="96" spans="1:27" ht="12.75" customHeight="1">
      <c r="A96" s="172"/>
      <c r="B96" s="172"/>
      <c r="C96" s="177" t="s">
        <v>51</v>
      </c>
      <c r="D96" s="178"/>
      <c r="E96" s="178"/>
      <c r="F96" s="199"/>
      <c r="G96" s="199"/>
      <c r="H96" s="199"/>
      <c r="I96" s="200">
        <f ca="1">I97*H25</f>
        <v>181.61099999999999</v>
      </c>
      <c r="J96" s="200">
        <f ca="1">J97*I25</f>
        <v>169.23330000000001</v>
      </c>
      <c r="K96" s="200">
        <f ca="1">K97*J25</f>
        <v>295.26541200000003</v>
      </c>
      <c r="L96" s="200">
        <f ca="1">L97*K25</f>
        <v>383.84503560000007</v>
      </c>
      <c r="M96" s="215">
        <f ca="1">M97*L25</f>
        <v>498.99854628000008</v>
      </c>
      <c r="N96" s="198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</row>
    <row r="97" spans="1:27" ht="12.75" customHeight="1">
      <c r="A97" s="172"/>
      <c r="B97" s="172"/>
      <c r="C97" s="179" t="s">
        <v>52</v>
      </c>
      <c r="D97" s="180"/>
      <c r="E97" s="180"/>
      <c r="F97" s="201">
        <f>F96/F25</f>
        <v>0</v>
      </c>
      <c r="G97" s="201">
        <f>G96/G25</f>
        <v>0</v>
      </c>
      <c r="H97" s="201">
        <f>H96/H25</f>
        <v>0</v>
      </c>
      <c r="I97" s="440">
        <f t="shared" ref="I97:M97" ca="1" si="23">+OFFSET(I97,$D$4,)</f>
        <v>0.09</v>
      </c>
      <c r="J97" s="201">
        <f t="shared" ca="1" si="23"/>
        <v>0.09</v>
      </c>
      <c r="K97" s="201">
        <f t="shared" ca="1" si="23"/>
        <v>0.09</v>
      </c>
      <c r="L97" s="201">
        <f t="shared" ca="1" si="23"/>
        <v>0.09</v>
      </c>
      <c r="M97" s="211">
        <f t="shared" ca="1" si="23"/>
        <v>0.09</v>
      </c>
      <c r="N97" s="198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</row>
    <row r="98" spans="1:27" ht="12.75" customHeight="1">
      <c r="A98" s="172"/>
      <c r="B98" s="172"/>
      <c r="C98" s="183" t="s">
        <v>8</v>
      </c>
      <c r="D98" s="184"/>
      <c r="E98" s="181"/>
      <c r="G98" s="185"/>
      <c r="H98" s="185"/>
      <c r="I98" s="205">
        <v>6.5000000000000002E-2</v>
      </c>
      <c r="J98" s="205">
        <v>6.5000000000000002E-2</v>
      </c>
      <c r="K98" s="205">
        <v>6.5000000000000002E-2</v>
      </c>
      <c r="L98" s="205">
        <v>6.5000000000000002E-2</v>
      </c>
      <c r="M98" s="205">
        <v>6.5000000000000002E-2</v>
      </c>
      <c r="N98" s="198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</row>
    <row r="99" spans="1:27" ht="12.75" customHeight="1">
      <c r="A99" s="172"/>
      <c r="B99" s="172"/>
      <c r="C99" s="183" t="s">
        <v>9</v>
      </c>
      <c r="G99" s="185"/>
      <c r="H99" s="185"/>
      <c r="I99" s="205">
        <v>0.04</v>
      </c>
      <c r="J99" s="205">
        <v>0.04</v>
      </c>
      <c r="K99" s="205">
        <v>0.04</v>
      </c>
      <c r="L99" s="205">
        <v>0.04</v>
      </c>
      <c r="M99" s="205">
        <v>0.04</v>
      </c>
      <c r="N99" s="198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</row>
    <row r="100" spans="1:27" ht="12.75" customHeight="1" thickBot="1">
      <c r="A100" s="172"/>
      <c r="B100" s="172"/>
      <c r="C100" s="186" t="s">
        <v>11</v>
      </c>
      <c r="D100" s="187"/>
      <c r="E100" s="187"/>
      <c r="F100" s="187"/>
      <c r="G100" s="188"/>
      <c r="H100" s="188"/>
      <c r="I100" s="205">
        <v>0.09</v>
      </c>
      <c r="J100" s="205">
        <v>0.09</v>
      </c>
      <c r="K100" s="205">
        <v>0.09</v>
      </c>
      <c r="L100" s="205">
        <v>0.09</v>
      </c>
      <c r="M100" s="205">
        <v>0.09</v>
      </c>
      <c r="N100" s="198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</row>
    <row r="101" spans="1:27" ht="12.75" customHeight="1" thickBot="1">
      <c r="A101" s="172"/>
      <c r="B101" s="172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98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</row>
    <row r="102" spans="1:27" ht="12.75" customHeight="1">
      <c r="A102" s="172"/>
      <c r="B102" s="172"/>
      <c r="C102" s="177" t="s">
        <v>53</v>
      </c>
      <c r="D102" s="178"/>
      <c r="E102" s="178"/>
      <c r="F102" s="199"/>
      <c r="G102" s="199"/>
      <c r="H102" s="199"/>
      <c r="I102" s="200">
        <f ca="1">I103*H25</f>
        <v>50.447500000000005</v>
      </c>
      <c r="J102" s="200">
        <f ca="1">J103*I25</f>
        <v>47.009250000000009</v>
      </c>
      <c r="K102" s="200">
        <f ca="1">K103*J25</f>
        <v>82.018170000000012</v>
      </c>
      <c r="L102" s="200">
        <f ca="1">L103*K25</f>
        <v>106.62362100000003</v>
      </c>
      <c r="M102" s="215">
        <f ca="1">M103*L25</f>
        <v>138.61070730000003</v>
      </c>
      <c r="N102" s="198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</row>
    <row r="103" spans="1:27" ht="12.75" customHeight="1">
      <c r="A103" s="172"/>
      <c r="B103" s="172"/>
      <c r="C103" s="179" t="s">
        <v>52</v>
      </c>
      <c r="D103" s="180"/>
      <c r="E103" s="180"/>
      <c r="F103" s="201">
        <f>F102/H25</f>
        <v>0</v>
      </c>
      <c r="G103" s="201">
        <f>G102/I25</f>
        <v>0</v>
      </c>
      <c r="H103" s="201">
        <f ca="1">H102/J25</f>
        <v>0</v>
      </c>
      <c r="I103" s="201">
        <f t="shared" ref="I103:M103" ca="1" si="24">+OFFSET(I103,$D$4,)</f>
        <v>2.5000000000000001E-2</v>
      </c>
      <c r="J103" s="201">
        <f t="shared" ca="1" si="24"/>
        <v>2.5000000000000001E-2</v>
      </c>
      <c r="K103" s="201">
        <f t="shared" ca="1" si="24"/>
        <v>2.5000000000000001E-2</v>
      </c>
      <c r="L103" s="201">
        <f t="shared" ca="1" si="24"/>
        <v>2.5000000000000001E-2</v>
      </c>
      <c r="M103" s="211">
        <f t="shared" ca="1" si="24"/>
        <v>2.5000000000000001E-2</v>
      </c>
      <c r="N103" s="198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</row>
    <row r="104" spans="1:27" ht="12.75" customHeight="1">
      <c r="A104" s="172"/>
      <c r="B104" s="172"/>
      <c r="C104" s="183" t="s">
        <v>8</v>
      </c>
      <c r="D104" s="184"/>
      <c r="E104" s="181"/>
      <c r="G104" s="185"/>
      <c r="H104" s="185"/>
      <c r="I104" s="205">
        <v>1.4999999999999999E-2</v>
      </c>
      <c r="J104" s="205">
        <v>1.4999999999999999E-2</v>
      </c>
      <c r="K104" s="205">
        <v>1.4999999999999999E-2</v>
      </c>
      <c r="L104" s="205">
        <v>1.4999999999999999E-2</v>
      </c>
      <c r="M104" s="205">
        <v>1.4999999999999999E-2</v>
      </c>
      <c r="N104" s="198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</row>
    <row r="105" spans="1:27" ht="12.75" customHeight="1">
      <c r="A105" s="172"/>
      <c r="B105" s="172"/>
      <c r="C105" s="183" t="s">
        <v>9</v>
      </c>
      <c r="G105" s="185"/>
      <c r="H105" s="185"/>
      <c r="I105" s="205">
        <v>0.01</v>
      </c>
      <c r="J105" s="205">
        <v>0.01</v>
      </c>
      <c r="K105" s="205">
        <v>0.01</v>
      </c>
      <c r="L105" s="205">
        <v>0.01</v>
      </c>
      <c r="M105" s="205">
        <v>0.01</v>
      </c>
      <c r="N105" s="198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</row>
    <row r="106" spans="1:27" ht="12.75" customHeight="1" thickBot="1">
      <c r="A106" s="172"/>
      <c r="B106" s="172"/>
      <c r="C106" s="186" t="s">
        <v>11</v>
      </c>
      <c r="D106" s="187"/>
      <c r="E106" s="187"/>
      <c r="F106" s="187"/>
      <c r="G106" s="188"/>
      <c r="H106" s="188"/>
      <c r="I106" s="205">
        <v>2.5000000000000001E-2</v>
      </c>
      <c r="J106" s="205">
        <v>2.5000000000000001E-2</v>
      </c>
      <c r="K106" s="205">
        <v>2.5000000000000001E-2</v>
      </c>
      <c r="L106" s="205">
        <v>2.5000000000000001E-2</v>
      </c>
      <c r="M106" s="205">
        <v>2.5000000000000001E-2</v>
      </c>
      <c r="N106" s="198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</row>
    <row r="107" spans="1:27" ht="12.75" customHeight="1" thickBot="1">
      <c r="A107" s="172"/>
      <c r="B107" s="172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98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</row>
    <row r="108" spans="1:27" ht="12.75" customHeight="1">
      <c r="A108" s="172"/>
      <c r="B108" s="172"/>
      <c r="C108" s="177" t="s">
        <v>54</v>
      </c>
      <c r="D108" s="178"/>
      <c r="E108" s="178"/>
      <c r="F108" s="199"/>
      <c r="G108" s="199"/>
      <c r="H108" s="199"/>
      <c r="I108" s="200">
        <f ca="1">I109*I10</f>
        <v>50.4756</v>
      </c>
      <c r="J108" s="200">
        <f ca="1">J109*I25</f>
        <v>22.564440000000001</v>
      </c>
      <c r="K108" s="200">
        <f ca="1">K109*J25</f>
        <v>39.368721600000008</v>
      </c>
      <c r="L108" s="200">
        <f ca="1">L109*K25</f>
        <v>51.179338080000015</v>
      </c>
      <c r="M108" s="215">
        <f ca="1">M109*L25</f>
        <v>66.533139504000019</v>
      </c>
      <c r="N108" s="198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</row>
    <row r="109" spans="1:27" ht="12.75" customHeight="1">
      <c r="A109" s="172"/>
      <c r="B109" s="172"/>
      <c r="C109" s="179" t="s">
        <v>55</v>
      </c>
      <c r="D109" s="180"/>
      <c r="E109" s="180"/>
      <c r="F109" s="201">
        <f>F108/H25</f>
        <v>0</v>
      </c>
      <c r="G109" s="201">
        <f>G108/I25</f>
        <v>0</v>
      </c>
      <c r="H109" s="201">
        <f ca="1">H108/J25</f>
        <v>0</v>
      </c>
      <c r="I109" s="201">
        <f t="shared" ref="I109:M109" ca="1" si="25">+OFFSET(I109,$D$4,)</f>
        <v>1.2E-2</v>
      </c>
      <c r="J109" s="201">
        <f t="shared" ca="1" si="25"/>
        <v>1.2E-2</v>
      </c>
      <c r="K109" s="201">
        <f t="shared" ca="1" si="25"/>
        <v>1.2E-2</v>
      </c>
      <c r="L109" s="201">
        <f t="shared" ca="1" si="25"/>
        <v>1.2E-2</v>
      </c>
      <c r="M109" s="211">
        <f t="shared" ca="1" si="25"/>
        <v>1.2E-2</v>
      </c>
      <c r="N109" s="198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</row>
    <row r="110" spans="1:27" ht="12.75" customHeight="1">
      <c r="A110" s="172"/>
      <c r="B110" s="172"/>
      <c r="C110" s="183" t="s">
        <v>8</v>
      </c>
      <c r="D110" s="184"/>
      <c r="E110" s="181"/>
      <c r="G110" s="185"/>
      <c r="H110" s="185"/>
      <c r="I110" s="205">
        <v>0.01</v>
      </c>
      <c r="J110" s="205">
        <v>0.01</v>
      </c>
      <c r="K110" s="205">
        <v>0.01</v>
      </c>
      <c r="L110" s="205">
        <v>0.01</v>
      </c>
      <c r="M110" s="205">
        <v>0.01</v>
      </c>
      <c r="N110" s="198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</row>
    <row r="111" spans="1:27" ht="12.75" customHeight="1">
      <c r="A111" s="172"/>
      <c r="B111" s="172"/>
      <c r="C111" s="183" t="s">
        <v>9</v>
      </c>
      <c r="G111" s="185"/>
      <c r="H111" s="185"/>
      <c r="I111" s="205">
        <v>8.0000000000000002E-3</v>
      </c>
      <c r="J111" s="205">
        <v>8.0000000000000002E-3</v>
      </c>
      <c r="K111" s="205">
        <v>8.0000000000000002E-3</v>
      </c>
      <c r="L111" s="205">
        <v>8.0000000000000002E-3</v>
      </c>
      <c r="M111" s="205">
        <v>8.0000000000000002E-3</v>
      </c>
      <c r="N111" s="198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</row>
    <row r="112" spans="1:27" ht="12.75" customHeight="1" thickBot="1">
      <c r="A112" s="172"/>
      <c r="B112" s="172"/>
      <c r="C112" s="186" t="s">
        <v>11</v>
      </c>
      <c r="D112" s="187"/>
      <c r="E112" s="187"/>
      <c r="F112" s="187"/>
      <c r="G112" s="188"/>
      <c r="H112" s="188"/>
      <c r="I112" s="205">
        <v>1.2E-2</v>
      </c>
      <c r="J112" s="205">
        <v>1.2E-2</v>
      </c>
      <c r="K112" s="205">
        <v>1.2E-2</v>
      </c>
      <c r="L112" s="205">
        <v>1.2E-2</v>
      </c>
      <c r="M112" s="205">
        <v>1.2E-2</v>
      </c>
      <c r="N112" s="198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</row>
    <row r="113" spans="1:27" ht="12.75" customHeight="1" thickBot="1">
      <c r="A113" s="172"/>
      <c r="B113" s="172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98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</row>
    <row r="114" spans="1:27" ht="12.75" customHeight="1">
      <c r="A114" s="172"/>
      <c r="B114" s="172"/>
      <c r="C114" s="177" t="s">
        <v>56</v>
      </c>
      <c r="D114" s="178"/>
      <c r="E114" s="178"/>
      <c r="F114" s="199"/>
      <c r="G114" s="199"/>
      <c r="H114" s="199"/>
      <c r="I114" s="200">
        <f ca="1">F10*I115</f>
        <v>14.662000000000001</v>
      </c>
      <c r="J114" s="200">
        <f ca="1">G10*J115</f>
        <v>13.096500000000001</v>
      </c>
      <c r="K114" s="200">
        <f ca="1">H10*K115</f>
        <v>16.593</v>
      </c>
      <c r="L114" s="200">
        <f ca="1">I10*L115</f>
        <v>21.031500000000001</v>
      </c>
      <c r="M114" s="200">
        <f ca="1">J10*M115</f>
        <v>27.339390000000005</v>
      </c>
      <c r="N114" s="198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</row>
    <row r="115" spans="1:27" ht="12.75" customHeight="1">
      <c r="A115" s="172"/>
      <c r="B115" s="172"/>
      <c r="C115" s="179" t="s">
        <v>37</v>
      </c>
      <c r="D115" s="180"/>
      <c r="E115" s="180"/>
      <c r="F115" s="201">
        <f>F114/(F19+F10)</f>
        <v>0</v>
      </c>
      <c r="G115" s="201">
        <f>G114/(G19+G10)</f>
        <v>0</v>
      </c>
      <c r="H115" s="201">
        <f>H114/(H19+H10)</f>
        <v>0</v>
      </c>
      <c r="I115" s="201">
        <f t="shared" ref="I115:M115" ca="1" si="26">+OFFSET(I115,$D$4,)</f>
        <v>5.0000000000000001E-3</v>
      </c>
      <c r="J115" s="201">
        <f t="shared" ca="1" si="26"/>
        <v>5.0000000000000001E-3</v>
      </c>
      <c r="K115" s="201">
        <f t="shared" ca="1" si="26"/>
        <v>5.0000000000000001E-3</v>
      </c>
      <c r="L115" s="201">
        <f t="shared" ca="1" si="26"/>
        <v>5.0000000000000001E-3</v>
      </c>
      <c r="M115" s="211">
        <f t="shared" ca="1" si="26"/>
        <v>5.0000000000000001E-3</v>
      </c>
      <c r="N115" s="198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</row>
    <row r="116" spans="1:27" ht="12.75" customHeight="1">
      <c r="A116" s="172"/>
      <c r="B116" s="172"/>
      <c r="C116" s="183" t="s">
        <v>8</v>
      </c>
      <c r="D116" s="184"/>
      <c r="E116" s="181"/>
      <c r="G116" s="185"/>
      <c r="H116" s="185"/>
      <c r="I116" s="205">
        <v>0.02</v>
      </c>
      <c r="J116" s="205">
        <v>0.02</v>
      </c>
      <c r="K116" s="205">
        <v>0.02</v>
      </c>
      <c r="L116" s="205">
        <v>0.02</v>
      </c>
      <c r="M116" s="205">
        <v>0.02</v>
      </c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</row>
    <row r="117" spans="1:27" ht="12.75" customHeight="1">
      <c r="A117" s="172"/>
      <c r="B117" s="172"/>
      <c r="C117" s="183" t="s">
        <v>9</v>
      </c>
      <c r="G117" s="185"/>
      <c r="H117" s="185"/>
      <c r="I117" s="205">
        <v>0.04</v>
      </c>
      <c r="J117" s="205">
        <v>0.04</v>
      </c>
      <c r="K117" s="205">
        <v>0.04</v>
      </c>
      <c r="L117" s="205">
        <v>0.04</v>
      </c>
      <c r="M117" s="205">
        <v>0.04</v>
      </c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</row>
    <row r="118" spans="1:27" ht="12.75" customHeight="1" thickBot="1">
      <c r="A118" s="172"/>
      <c r="B118" s="172"/>
      <c r="C118" s="186" t="s">
        <v>11</v>
      </c>
      <c r="D118" s="187"/>
      <c r="E118" s="187"/>
      <c r="F118" s="187"/>
      <c r="G118" s="188"/>
      <c r="H118" s="188"/>
      <c r="I118" s="205">
        <v>5.0000000000000001E-3</v>
      </c>
      <c r="J118" s="205">
        <v>5.0000000000000001E-3</v>
      </c>
      <c r="K118" s="205">
        <v>5.0000000000000001E-3</v>
      </c>
      <c r="L118" s="205">
        <v>5.0000000000000001E-3</v>
      </c>
      <c r="M118" s="205">
        <v>5.0000000000000001E-3</v>
      </c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</row>
    <row r="119" spans="1:27" ht="12.75" customHeight="1" thickBot="1">
      <c r="A119" s="172"/>
      <c r="B119" s="172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98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</row>
    <row r="120" spans="1:27" ht="12.75" customHeight="1">
      <c r="A120" s="172"/>
      <c r="B120" s="172"/>
      <c r="C120" s="177" t="s">
        <v>57</v>
      </c>
      <c r="D120" s="178"/>
      <c r="E120" s="178"/>
      <c r="F120" s="199"/>
      <c r="G120" s="199"/>
      <c r="H120" s="199"/>
      <c r="I120" s="200">
        <f ca="1">I10*I121</f>
        <v>-42.063000000000002</v>
      </c>
      <c r="J120" s="200">
        <f ca="1">(G19+G25)*J121</f>
        <v>-24.91987835164835</v>
      </c>
      <c r="K120" s="200">
        <f ca="1">(H19+H25)*K121</f>
        <v>-20.181742644628102</v>
      </c>
      <c r="L120" s="200">
        <f ca="1">(I19+I25)*L121</f>
        <v>-18.806400154063425</v>
      </c>
      <c r="M120" s="215">
        <f ca="1">(J19+J25)*M121</f>
        <v>-32.809968000000005</v>
      </c>
      <c r="N120" s="198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</row>
    <row r="121" spans="1:27" ht="12.75" customHeight="1">
      <c r="A121" s="172"/>
      <c r="B121" s="172"/>
      <c r="C121" s="179" t="s">
        <v>37</v>
      </c>
      <c r="D121" s="180"/>
      <c r="E121" s="180"/>
      <c r="F121" s="201">
        <f>-F120/(F10+F19)</f>
        <v>0</v>
      </c>
      <c r="G121" s="201">
        <f>-G120/(G10+G19)</f>
        <v>0</v>
      </c>
      <c r="H121" s="201">
        <f>H120/(H10+H19)</f>
        <v>0</v>
      </c>
      <c r="I121" s="201">
        <f t="shared" ref="I121:M121" ca="1" si="27">+OFFSET(I121,$D$4,)</f>
        <v>-0.01</v>
      </c>
      <c r="J121" s="201">
        <f t="shared" ca="1" si="27"/>
        <v>-0.01</v>
      </c>
      <c r="K121" s="201">
        <f t="shared" ca="1" si="27"/>
        <v>-0.01</v>
      </c>
      <c r="L121" s="201">
        <f t="shared" ca="1" si="27"/>
        <v>-0.01</v>
      </c>
      <c r="M121" s="211">
        <f t="shared" ca="1" si="27"/>
        <v>-0.01</v>
      </c>
      <c r="N121" s="198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</row>
    <row r="122" spans="1:27" ht="12.75" customHeight="1">
      <c r="A122" s="172"/>
      <c r="B122" s="172"/>
      <c r="C122" s="183" t="s">
        <v>8</v>
      </c>
      <c r="D122" s="184"/>
      <c r="E122" s="181"/>
      <c r="G122" s="185"/>
      <c r="H122" s="185"/>
      <c r="I122" s="205">
        <v>0</v>
      </c>
      <c r="J122" s="205">
        <v>0</v>
      </c>
      <c r="K122" s="205">
        <v>0</v>
      </c>
      <c r="L122" s="205">
        <v>0</v>
      </c>
      <c r="M122" s="205">
        <v>0</v>
      </c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</row>
    <row r="123" spans="1:27" ht="12.75" customHeight="1">
      <c r="A123" s="172"/>
      <c r="B123" s="172"/>
      <c r="C123" s="183" t="s">
        <v>9</v>
      </c>
      <c r="G123" s="185"/>
      <c r="H123" s="185"/>
      <c r="I123" s="205">
        <v>0.01</v>
      </c>
      <c r="J123" s="205">
        <v>0.01</v>
      </c>
      <c r="K123" s="205">
        <v>0.01</v>
      </c>
      <c r="L123" s="205">
        <v>0.01</v>
      </c>
      <c r="M123" s="205">
        <v>0.01</v>
      </c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</row>
    <row r="124" spans="1:27" ht="12.75" customHeight="1" thickBot="1">
      <c r="A124" s="172"/>
      <c r="B124" s="172"/>
      <c r="C124" s="186" t="s">
        <v>11</v>
      </c>
      <c r="D124" s="187"/>
      <c r="E124" s="187"/>
      <c r="F124" s="187"/>
      <c r="G124" s="188"/>
      <c r="H124" s="188"/>
      <c r="I124" s="205">
        <v>-0.01</v>
      </c>
      <c r="J124" s="205">
        <v>-0.01</v>
      </c>
      <c r="K124" s="205">
        <v>-0.01</v>
      </c>
      <c r="L124" s="205">
        <v>-0.01</v>
      </c>
      <c r="M124" s="205">
        <v>-0.01</v>
      </c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</row>
    <row r="125" spans="1:27" ht="12.75" customHeight="1">
      <c r="A125" s="172"/>
      <c r="B125" s="172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</row>
    <row r="126" spans="1:27" ht="12.75" customHeight="1">
      <c r="A126" s="172"/>
      <c r="B126" s="172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</row>
    <row r="127" spans="1:27" ht="12.75" customHeight="1">
      <c r="A127" s="172"/>
      <c r="B127" s="172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</row>
    <row r="128" spans="1:27" ht="12.75" customHeight="1">
      <c r="A128" s="172"/>
      <c r="B128" s="172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</row>
    <row r="129" spans="1:27" ht="12.75" customHeight="1">
      <c r="A129" s="172"/>
      <c r="B129" s="172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</row>
    <row r="130" spans="1:27" ht="12.75" customHeight="1">
      <c r="A130" s="172"/>
      <c r="B130" s="172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</row>
    <row r="131" spans="1:27" ht="12.75" customHeight="1">
      <c r="A131" s="172"/>
      <c r="B131" s="172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</row>
    <row r="132" spans="1:27" ht="12.75" customHeight="1">
      <c r="A132" s="172"/>
      <c r="B132" s="172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</row>
    <row r="133" spans="1:27" ht="12.75" customHeight="1">
      <c r="A133" s="172"/>
      <c r="B133" s="172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</row>
    <row r="134" spans="1:27" ht="12.75" customHeight="1">
      <c r="A134" s="172"/>
      <c r="B134" s="172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</row>
    <row r="135" spans="1:27" ht="12.75" customHeight="1">
      <c r="A135" s="172"/>
      <c r="B135" s="172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</row>
    <row r="136" spans="1:27" ht="12.75" customHeight="1">
      <c r="A136" s="172"/>
      <c r="B136" s="172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</row>
    <row r="137" spans="1:27" ht="12.75" customHeight="1">
      <c r="A137" s="172"/>
      <c r="B137" s="172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</row>
    <row r="138" spans="1:27" ht="12.75" customHeight="1">
      <c r="A138" s="172"/>
      <c r="B138" s="172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</row>
    <row r="139" spans="1:27" ht="12.75" customHeight="1">
      <c r="A139" s="172"/>
      <c r="B139" s="172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</row>
    <row r="140" spans="1:27" ht="12.75" customHeight="1">
      <c r="A140" s="172"/>
      <c r="B140" s="172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</row>
    <row r="141" spans="1:27" ht="12.75" customHeight="1">
      <c r="A141" s="172"/>
      <c r="B141" s="172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</row>
    <row r="142" spans="1:27" ht="12.75" customHeight="1">
      <c r="A142" s="172"/>
      <c r="B142" s="172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</row>
    <row r="143" spans="1:27" ht="12.75" customHeight="1">
      <c r="A143" s="172"/>
      <c r="B143" s="172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</row>
    <row r="144" spans="1:27" ht="12.75" customHeight="1">
      <c r="A144" s="172"/>
      <c r="B144" s="172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</row>
    <row r="145" spans="1:27" ht="12.75" customHeight="1">
      <c r="A145" s="172"/>
      <c r="B145" s="172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</row>
    <row r="146" spans="1:27" ht="12.75" customHeight="1">
      <c r="A146" s="172"/>
      <c r="B146" s="172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</row>
    <row r="147" spans="1:27" ht="12.75" customHeight="1">
      <c r="A147" s="172"/>
      <c r="B147" s="172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</row>
    <row r="148" spans="1:27" ht="12.75" customHeight="1">
      <c r="A148" s="172"/>
      <c r="B148" s="172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</row>
    <row r="149" spans="1:27" ht="12.75" customHeight="1">
      <c r="A149" s="172"/>
      <c r="B149" s="172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</row>
    <row r="150" spans="1:27" ht="12.75" customHeight="1">
      <c r="A150" s="172"/>
      <c r="B150" s="172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</row>
    <row r="151" spans="1:27" ht="12.75" customHeight="1">
      <c r="A151" s="172"/>
      <c r="B151" s="172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</row>
    <row r="152" spans="1:27" ht="12.75" customHeight="1">
      <c r="A152" s="172"/>
      <c r="B152" s="172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</row>
    <row r="153" spans="1:27" ht="12.75" customHeight="1">
      <c r="A153" s="172"/>
      <c r="B153" s="172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</row>
    <row r="154" spans="1:27" ht="12.75" customHeight="1">
      <c r="A154" s="172"/>
      <c r="B154" s="172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</row>
    <row r="155" spans="1:27" ht="12.75" customHeight="1">
      <c r="A155" s="172"/>
      <c r="B155" s="172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</row>
    <row r="156" spans="1:27" ht="12.75" customHeight="1">
      <c r="A156" s="172"/>
      <c r="B156" s="172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</row>
    <row r="157" spans="1:27" ht="12.75" customHeight="1">
      <c r="A157" s="172"/>
      <c r="B157" s="172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</row>
    <row r="158" spans="1:27" ht="12.75" customHeight="1">
      <c r="A158" s="172"/>
      <c r="B158" s="172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</row>
    <row r="159" spans="1:27" ht="12.75" customHeight="1">
      <c r="A159" s="172"/>
      <c r="B159" s="172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</row>
    <row r="160" spans="1:27" ht="12.75" customHeight="1">
      <c r="A160" s="172"/>
      <c r="B160" s="172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</row>
    <row r="161" spans="1:27" ht="12.75" customHeight="1">
      <c r="A161" s="172"/>
      <c r="B161" s="172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</row>
    <row r="162" spans="1:27" ht="12.75" customHeight="1">
      <c r="A162" s="172"/>
      <c r="B162" s="172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</row>
    <row r="163" spans="1:27" ht="12.75" customHeight="1">
      <c r="A163" s="172"/>
      <c r="B163" s="172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</row>
    <row r="164" spans="1:27" ht="12.75" customHeight="1">
      <c r="A164" s="172"/>
      <c r="B164" s="172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</row>
    <row r="165" spans="1:27" ht="12.75" customHeight="1">
      <c r="A165" s="172"/>
      <c r="B165" s="172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</row>
    <row r="166" spans="1:27" ht="12.75" customHeight="1">
      <c r="A166" s="172"/>
      <c r="B166" s="172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</row>
    <row r="167" spans="1:27" ht="12.75" customHeight="1">
      <c r="A167" s="172"/>
      <c r="B167" s="172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</row>
    <row r="168" spans="1:27" ht="12.75" customHeight="1">
      <c r="A168" s="172"/>
      <c r="B168" s="172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</row>
    <row r="169" spans="1:27" ht="12.75" customHeight="1">
      <c r="A169" s="172"/>
      <c r="B169" s="172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</row>
    <row r="170" spans="1:27" ht="12.75" customHeight="1">
      <c r="A170" s="172"/>
      <c r="B170" s="172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</row>
    <row r="171" spans="1:27" ht="12.75" customHeight="1">
      <c r="A171" s="172"/>
      <c r="B171" s="172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</row>
    <row r="172" spans="1:27" ht="12.75" customHeight="1">
      <c r="A172" s="172"/>
      <c r="B172" s="172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</row>
    <row r="173" spans="1:27" ht="12.75" customHeight="1">
      <c r="A173" s="172"/>
      <c r="B173" s="172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</row>
    <row r="174" spans="1:27" ht="12.75" customHeight="1">
      <c r="A174" s="172"/>
      <c r="B174" s="172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</row>
    <row r="175" spans="1:27" ht="12.75" customHeight="1">
      <c r="A175" s="172"/>
      <c r="B175" s="172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</row>
    <row r="176" spans="1:27" ht="12.75" customHeight="1">
      <c r="A176" s="172"/>
      <c r="B176" s="172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</row>
    <row r="177" spans="1:27" ht="12.75" customHeight="1">
      <c r="A177" s="172"/>
      <c r="B177" s="172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</row>
    <row r="178" spans="1:27" ht="12.75" customHeight="1">
      <c r="A178" s="172"/>
      <c r="B178" s="172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</row>
    <row r="179" spans="1:27" ht="12.75" customHeight="1">
      <c r="A179" s="172"/>
      <c r="B179" s="172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</row>
    <row r="180" spans="1:27" ht="12.75" customHeight="1">
      <c r="A180" s="172"/>
      <c r="B180" s="172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</row>
    <row r="181" spans="1:27" ht="12.75" customHeight="1">
      <c r="A181" s="172"/>
      <c r="B181" s="172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</row>
    <row r="182" spans="1:27" ht="12.75" customHeight="1">
      <c r="A182" s="172"/>
      <c r="B182" s="172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</row>
    <row r="183" spans="1:27" ht="12.75" customHeight="1">
      <c r="A183" s="172"/>
      <c r="B183" s="172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</row>
    <row r="184" spans="1:27" ht="12.75" customHeight="1">
      <c r="A184" s="172"/>
      <c r="B184" s="172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</row>
    <row r="185" spans="1:27" ht="12.75" customHeight="1">
      <c r="A185" s="172"/>
      <c r="B185" s="172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</row>
    <row r="186" spans="1:27" ht="12.75" customHeight="1">
      <c r="A186" s="172"/>
      <c r="B186" s="172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</row>
    <row r="187" spans="1:27" ht="12.75" customHeight="1">
      <c r="A187" s="172"/>
      <c r="B187" s="172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</row>
    <row r="188" spans="1:27" ht="12.75" customHeight="1">
      <c r="A188" s="172"/>
      <c r="B188" s="172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</row>
    <row r="189" spans="1:27" ht="12.75" customHeight="1">
      <c r="A189" s="172"/>
      <c r="B189" s="172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</row>
    <row r="190" spans="1:27" ht="12.75" customHeight="1">
      <c r="A190" s="172"/>
      <c r="B190" s="172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</row>
    <row r="191" spans="1:27" ht="12.75" customHeight="1">
      <c r="A191" s="172"/>
      <c r="B191" s="172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</row>
    <row r="192" spans="1:27" ht="12.75" customHeight="1">
      <c r="A192" s="172"/>
      <c r="B192" s="172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</row>
    <row r="193" spans="1:27" ht="12.75" customHeight="1">
      <c r="A193" s="172"/>
      <c r="B193" s="172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</row>
    <row r="194" spans="1:27" ht="12.75" customHeight="1">
      <c r="A194" s="172"/>
      <c r="B194" s="172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</row>
    <row r="195" spans="1:27" ht="12.75" customHeight="1">
      <c r="A195" s="172"/>
      <c r="B195" s="172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</row>
    <row r="196" spans="1:27" ht="12.75" customHeight="1">
      <c r="A196" s="172"/>
      <c r="B196" s="172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</row>
    <row r="197" spans="1:27" ht="12.75" customHeight="1">
      <c r="A197" s="172"/>
      <c r="B197" s="172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</row>
    <row r="198" spans="1:27" ht="12.75" customHeight="1">
      <c r="A198" s="172"/>
      <c r="B198" s="172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</row>
    <row r="199" spans="1:27" ht="12.75" customHeight="1">
      <c r="A199" s="172"/>
      <c r="B199" s="172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</row>
    <row r="200" spans="1:27" ht="12.75" customHeight="1">
      <c r="A200" s="172"/>
      <c r="B200" s="172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</row>
    <row r="201" spans="1:27" ht="12.75" customHeight="1">
      <c r="A201" s="172"/>
      <c r="B201" s="172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</row>
    <row r="202" spans="1:27" ht="12.75" customHeight="1">
      <c r="A202" s="172"/>
      <c r="B202" s="172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</row>
    <row r="203" spans="1:27" ht="12.75" customHeight="1">
      <c r="A203" s="172"/>
      <c r="B203" s="172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</row>
    <row r="204" spans="1:27" ht="12.75" customHeight="1">
      <c r="A204" s="172"/>
      <c r="B204" s="172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</row>
    <row r="205" spans="1:27" ht="12.75" customHeight="1">
      <c r="A205" s="172"/>
      <c r="B205" s="172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</row>
    <row r="206" spans="1:27" ht="12.75" customHeight="1">
      <c r="A206" s="172"/>
      <c r="B206" s="172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</row>
    <row r="207" spans="1:27" ht="12.75" customHeight="1">
      <c r="A207" s="172"/>
      <c r="B207" s="172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</row>
    <row r="208" spans="1:27" ht="12.75" customHeight="1">
      <c r="A208" s="172"/>
      <c r="B208" s="172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</row>
    <row r="209" spans="1:27" ht="12.75" customHeight="1">
      <c r="A209" s="172"/>
      <c r="B209" s="172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</row>
    <row r="210" spans="1:27" ht="12.75" customHeight="1">
      <c r="A210" s="172"/>
      <c r="B210" s="172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</row>
    <row r="211" spans="1:27" ht="12.75" customHeight="1">
      <c r="A211" s="172"/>
      <c r="B211" s="172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</row>
    <row r="212" spans="1:27" ht="12.75" customHeight="1">
      <c r="A212" s="172"/>
      <c r="B212" s="172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</row>
    <row r="213" spans="1:27" ht="12.75" customHeight="1">
      <c r="A213" s="172"/>
      <c r="B213" s="172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</row>
    <row r="214" spans="1:27" ht="12.75" customHeight="1">
      <c r="A214" s="172"/>
      <c r="B214" s="172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</row>
    <row r="215" spans="1:27" ht="12.75" customHeight="1">
      <c r="A215" s="172"/>
      <c r="B215" s="172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</row>
    <row r="216" spans="1:27" ht="12.75" customHeight="1">
      <c r="A216" s="172"/>
      <c r="B216" s="172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</row>
    <row r="217" spans="1:27" ht="12.75" customHeight="1">
      <c r="A217" s="172"/>
      <c r="B217" s="172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</row>
    <row r="218" spans="1:27" ht="12.75" customHeight="1">
      <c r="A218" s="172"/>
      <c r="B218" s="172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</row>
    <row r="219" spans="1:27" ht="12.75" customHeight="1">
      <c r="A219" s="172"/>
      <c r="B219" s="172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</row>
    <row r="220" spans="1:27" ht="12.75" customHeight="1">
      <c r="A220" s="172"/>
      <c r="B220" s="172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</row>
    <row r="221" spans="1:27" ht="12.75" customHeight="1">
      <c r="A221" s="172"/>
      <c r="B221" s="172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</row>
    <row r="222" spans="1:27" ht="12.75" customHeight="1">
      <c r="A222" s="172"/>
      <c r="B222" s="172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</row>
    <row r="223" spans="1:27" ht="12.75" customHeight="1">
      <c r="A223" s="172"/>
      <c r="B223" s="172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</row>
    <row r="224" spans="1:27" ht="12.75" customHeight="1">
      <c r="A224" s="172"/>
      <c r="B224" s="172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</row>
    <row r="225" spans="1:27" ht="12.75" customHeight="1">
      <c r="A225" s="172"/>
      <c r="B225" s="172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</row>
    <row r="226" spans="1:27" ht="12.75" customHeight="1">
      <c r="A226" s="172"/>
      <c r="B226" s="172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</row>
    <row r="227" spans="1:27" ht="12.75" customHeight="1">
      <c r="A227" s="172"/>
      <c r="B227" s="172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</row>
    <row r="228" spans="1:27" ht="12.75" customHeight="1">
      <c r="A228" s="172"/>
      <c r="B228" s="172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</row>
    <row r="229" spans="1:27" ht="12.75" customHeight="1">
      <c r="A229" s="172"/>
      <c r="B229" s="172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</row>
    <row r="230" spans="1:27" ht="12.75" customHeight="1">
      <c r="A230" s="172"/>
      <c r="B230" s="172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</row>
    <row r="231" spans="1:27" ht="12.75" customHeight="1">
      <c r="A231" s="172"/>
      <c r="B231" s="172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</row>
    <row r="232" spans="1:27" ht="12.75" customHeight="1">
      <c r="A232" s="172"/>
      <c r="B232" s="172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</row>
    <row r="233" spans="1:27" ht="12.75" customHeight="1">
      <c r="A233" s="172"/>
      <c r="B233" s="172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</row>
    <row r="234" spans="1:27" ht="12.75" customHeight="1">
      <c r="A234" s="172"/>
      <c r="B234" s="172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</row>
    <row r="235" spans="1:27" ht="12.75" customHeight="1">
      <c r="A235" s="172"/>
      <c r="B235" s="172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</row>
    <row r="236" spans="1:27" ht="12.75" customHeight="1">
      <c r="A236" s="172"/>
      <c r="B236" s="172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</row>
    <row r="237" spans="1:27" ht="12.75" customHeight="1">
      <c r="A237" s="172"/>
      <c r="B237" s="172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</row>
    <row r="238" spans="1:27" ht="12.75" customHeight="1">
      <c r="A238" s="172"/>
      <c r="B238" s="172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</row>
    <row r="239" spans="1:27" ht="12.75" customHeight="1">
      <c r="A239" s="172"/>
      <c r="B239" s="172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</row>
    <row r="240" spans="1:27" ht="12.75" customHeight="1">
      <c r="A240" s="172"/>
      <c r="B240" s="172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</row>
    <row r="241" spans="1:27" ht="12.75" customHeight="1">
      <c r="A241" s="172"/>
      <c r="B241" s="172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</row>
    <row r="242" spans="1:27" ht="12.75" customHeight="1">
      <c r="A242" s="172"/>
      <c r="B242" s="172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</row>
    <row r="243" spans="1:27" ht="12.75" customHeight="1">
      <c r="A243" s="172"/>
      <c r="B243" s="172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</row>
    <row r="244" spans="1:27" ht="12.75" customHeight="1">
      <c r="A244" s="172"/>
      <c r="B244" s="172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</row>
    <row r="245" spans="1:27" ht="12.75" customHeight="1">
      <c r="A245" s="172"/>
      <c r="B245" s="172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</row>
    <row r="246" spans="1:27" ht="12.75" customHeight="1">
      <c r="A246" s="172"/>
      <c r="B246" s="172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</row>
    <row r="247" spans="1:27" ht="12.75" customHeight="1">
      <c r="A247" s="172"/>
      <c r="B247" s="172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</row>
    <row r="248" spans="1:27" ht="12.75" customHeight="1">
      <c r="A248" s="172"/>
      <c r="B248" s="172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</row>
    <row r="249" spans="1:27" ht="12.75" customHeight="1">
      <c r="A249" s="172"/>
      <c r="B249" s="172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</row>
    <row r="250" spans="1:27" ht="12.75" customHeight="1">
      <c r="A250" s="172"/>
      <c r="B250" s="172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</row>
    <row r="251" spans="1:27" ht="12.75" customHeight="1">
      <c r="A251" s="172"/>
      <c r="B251" s="172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</row>
    <row r="252" spans="1:27" ht="12.75" customHeight="1">
      <c r="A252" s="172"/>
      <c r="B252" s="172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</row>
    <row r="253" spans="1:27" ht="12.75" customHeight="1">
      <c r="A253" s="172"/>
      <c r="B253" s="172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</row>
    <row r="254" spans="1:27" ht="12.75" customHeight="1">
      <c r="A254" s="172"/>
      <c r="B254" s="172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</row>
    <row r="255" spans="1:27" ht="12.75" customHeight="1">
      <c r="A255" s="172"/>
      <c r="B255" s="172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</row>
    <row r="256" spans="1:27" ht="12.75" customHeight="1">
      <c r="A256" s="172"/>
      <c r="B256" s="172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</row>
    <row r="257" spans="1:27" ht="12.75" customHeight="1">
      <c r="A257" s="172"/>
      <c r="B257" s="172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</row>
    <row r="258" spans="1:27" ht="12.75" customHeight="1">
      <c r="A258" s="172"/>
      <c r="B258" s="172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</row>
    <row r="259" spans="1:27" ht="12.75" customHeight="1">
      <c r="A259" s="172"/>
      <c r="B259" s="172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</row>
    <row r="260" spans="1:27" ht="12.75" customHeight="1">
      <c r="A260" s="172"/>
      <c r="B260" s="172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</row>
    <row r="261" spans="1:27" ht="12.75" customHeight="1">
      <c r="A261" s="172"/>
      <c r="B261" s="172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</row>
    <row r="262" spans="1:27" ht="12.75" customHeight="1">
      <c r="A262" s="172"/>
      <c r="B262" s="172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</row>
    <row r="263" spans="1:27" ht="12.75" customHeight="1">
      <c r="A263" s="172"/>
      <c r="B263" s="172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</row>
    <row r="264" spans="1:27" ht="12.75" customHeight="1">
      <c r="A264" s="172"/>
      <c r="B264" s="172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</row>
    <row r="265" spans="1:27" ht="12.75" customHeight="1">
      <c r="A265" s="172"/>
      <c r="B265" s="172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</row>
    <row r="266" spans="1:27" ht="12.75" customHeight="1">
      <c r="A266" s="172"/>
      <c r="B266" s="172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</row>
    <row r="267" spans="1:27" ht="12.75" customHeight="1">
      <c r="A267" s="172"/>
      <c r="B267" s="172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</row>
    <row r="268" spans="1:27" ht="12.75" customHeight="1">
      <c r="A268" s="172"/>
      <c r="B268" s="172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</row>
    <row r="269" spans="1:27" ht="12.75" customHeight="1">
      <c r="A269" s="172"/>
      <c r="B269" s="172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</row>
    <row r="270" spans="1:27" ht="12.75" customHeight="1">
      <c r="A270" s="172"/>
      <c r="B270" s="172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</row>
    <row r="271" spans="1:27" ht="12.75" customHeight="1">
      <c r="A271" s="172"/>
      <c r="B271" s="172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</row>
    <row r="272" spans="1:27" ht="12.75" customHeight="1">
      <c r="A272" s="172"/>
      <c r="B272" s="172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</row>
    <row r="273" spans="1:27" ht="12.75" customHeight="1">
      <c r="A273" s="172"/>
      <c r="B273" s="172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</row>
    <row r="274" spans="1:27" ht="12.75" customHeight="1">
      <c r="A274" s="172"/>
      <c r="B274" s="172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</row>
    <row r="275" spans="1:27" ht="12.75" customHeight="1">
      <c r="A275" s="172"/>
      <c r="B275" s="172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</row>
    <row r="276" spans="1:27" ht="12.75" customHeight="1">
      <c r="A276" s="172"/>
      <c r="B276" s="172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</row>
    <row r="277" spans="1:27" ht="12.75" customHeight="1">
      <c r="A277" s="172"/>
      <c r="B277" s="172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</row>
    <row r="278" spans="1:27" ht="12.75" customHeight="1">
      <c r="A278" s="172"/>
      <c r="B278" s="172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</row>
    <row r="279" spans="1:27" ht="12.75" customHeight="1">
      <c r="A279" s="172"/>
      <c r="B279" s="172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</row>
    <row r="280" spans="1:27" ht="12.75" customHeight="1">
      <c r="A280" s="172"/>
      <c r="B280" s="172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</row>
    <row r="281" spans="1:27" ht="12.75" customHeight="1">
      <c r="A281" s="172"/>
      <c r="B281" s="172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</row>
    <row r="282" spans="1:27" ht="12.75" customHeight="1">
      <c r="A282" s="172"/>
      <c r="B282" s="172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</row>
    <row r="283" spans="1:27" ht="12.75" customHeight="1">
      <c r="A283" s="172"/>
      <c r="B283" s="172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</row>
    <row r="284" spans="1:27" ht="12.75" customHeight="1">
      <c r="A284" s="172"/>
      <c r="B284" s="172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</row>
    <row r="285" spans="1:27" ht="12.75" customHeight="1">
      <c r="A285" s="172"/>
      <c r="B285" s="172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</row>
    <row r="286" spans="1:27" ht="12.75" customHeight="1">
      <c r="A286" s="172"/>
      <c r="B286" s="172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</row>
    <row r="287" spans="1:27" ht="12.75" customHeight="1">
      <c r="A287" s="172"/>
      <c r="B287" s="172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</row>
    <row r="288" spans="1:27" ht="12.75" customHeight="1">
      <c r="A288" s="172"/>
      <c r="B288" s="172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</row>
    <row r="289" spans="1:27" ht="12.75" customHeight="1">
      <c r="A289" s="172"/>
      <c r="B289" s="172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</row>
    <row r="290" spans="1:27" ht="12.75" customHeight="1">
      <c r="A290" s="172"/>
      <c r="B290" s="172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</row>
    <row r="291" spans="1:27" ht="12.75" customHeight="1">
      <c r="A291" s="172"/>
      <c r="B291" s="172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</row>
    <row r="292" spans="1:27" ht="12.75" customHeight="1">
      <c r="A292" s="172"/>
      <c r="B292" s="172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</row>
    <row r="293" spans="1:27" ht="12.75" customHeight="1">
      <c r="A293" s="172"/>
      <c r="B293" s="172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</row>
    <row r="294" spans="1:27" ht="12.75" customHeight="1">
      <c r="A294" s="172"/>
      <c r="B294" s="172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</row>
    <row r="295" spans="1:27" ht="12.75" customHeight="1">
      <c r="A295" s="172"/>
      <c r="B295" s="172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</row>
    <row r="296" spans="1:27" ht="12.75" customHeight="1">
      <c r="A296" s="172"/>
      <c r="B296" s="172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</row>
    <row r="297" spans="1:27" ht="12.75" customHeight="1">
      <c r="A297" s="172"/>
      <c r="B297" s="172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</row>
    <row r="298" spans="1:27" ht="12.75" customHeight="1">
      <c r="A298" s="172"/>
      <c r="B298" s="172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</row>
    <row r="299" spans="1:27" ht="12.75" customHeight="1">
      <c r="A299" s="172"/>
      <c r="B299" s="172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</row>
    <row r="300" spans="1:27" ht="12.75" customHeight="1">
      <c r="A300" s="172"/>
      <c r="B300" s="172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</row>
    <row r="301" spans="1:27" ht="12.75" customHeight="1">
      <c r="A301" s="172"/>
      <c r="B301" s="172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</row>
    <row r="302" spans="1:27" ht="12.75" customHeight="1">
      <c r="A302" s="172"/>
      <c r="B302" s="172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</row>
    <row r="303" spans="1:27" ht="12.75" customHeight="1">
      <c r="A303" s="172"/>
      <c r="B303" s="172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</row>
    <row r="304" spans="1:27" ht="12.75" customHeight="1">
      <c r="A304" s="172"/>
      <c r="B304" s="172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</row>
    <row r="305" spans="1:27" ht="12.75" customHeight="1">
      <c r="A305" s="172"/>
      <c r="B305" s="172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</row>
    <row r="306" spans="1:27" ht="12.75" customHeight="1">
      <c r="A306" s="172"/>
      <c r="B306" s="172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</row>
    <row r="307" spans="1:27" ht="12.75" customHeight="1">
      <c r="A307" s="172"/>
      <c r="B307" s="172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</row>
    <row r="308" spans="1:27" ht="12.75" customHeight="1">
      <c r="A308" s="172"/>
      <c r="B308" s="172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</row>
    <row r="309" spans="1:27" ht="12.75" customHeight="1">
      <c r="A309" s="172"/>
      <c r="B309" s="172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</row>
    <row r="310" spans="1:27" ht="12.75" customHeight="1">
      <c r="A310" s="172"/>
      <c r="B310" s="172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</row>
    <row r="311" spans="1:27" ht="12.75" customHeight="1">
      <c r="A311" s="172"/>
      <c r="B311" s="172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</row>
    <row r="312" spans="1:27" ht="12.75" customHeight="1">
      <c r="A312" s="172"/>
      <c r="B312" s="172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</row>
    <row r="313" spans="1:27" ht="12.75" customHeight="1">
      <c r="A313" s="172"/>
      <c r="B313" s="172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</row>
    <row r="314" spans="1:27" ht="12.75" customHeight="1">
      <c r="A314" s="172"/>
      <c r="B314" s="172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</row>
    <row r="315" spans="1:27" ht="12.75" customHeight="1">
      <c r="A315" s="172"/>
      <c r="B315" s="172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</row>
    <row r="316" spans="1:27" ht="12.75" customHeight="1">
      <c r="A316" s="172"/>
      <c r="B316" s="172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</row>
    <row r="317" spans="1:27" ht="12.75" customHeight="1">
      <c r="A317" s="172"/>
      <c r="B317" s="172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</row>
    <row r="318" spans="1:27" ht="12.75" customHeight="1">
      <c r="A318" s="172"/>
      <c r="B318" s="172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</row>
    <row r="319" spans="1:27" ht="12.75" customHeight="1">
      <c r="A319" s="172"/>
      <c r="B319" s="172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</row>
    <row r="320" spans="1:27" ht="12.75" customHeight="1">
      <c r="A320" s="172"/>
      <c r="B320" s="172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</row>
    <row r="321" spans="1:27" ht="12.75" customHeight="1">
      <c r="A321" s="172"/>
      <c r="B321" s="172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</row>
    <row r="322" spans="1:27" ht="12.75" customHeight="1">
      <c r="A322" s="172"/>
      <c r="B322" s="172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</row>
    <row r="323" spans="1:27" ht="12.75" customHeight="1">
      <c r="A323" s="172"/>
      <c r="B323" s="172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</row>
    <row r="324" spans="1:27" ht="12.75" customHeight="1">
      <c r="A324" s="172"/>
      <c r="B324" s="172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</row>
    <row r="325" spans="1:27" ht="12.75" customHeight="1">
      <c r="A325" s="172"/>
      <c r="B325" s="172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</row>
    <row r="326" spans="1:27" ht="12.75" customHeight="1">
      <c r="A326" s="172"/>
      <c r="B326" s="172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</row>
    <row r="327" spans="1:27" ht="12.75" customHeight="1">
      <c r="A327" s="172"/>
      <c r="B327" s="172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</row>
    <row r="328" spans="1:27" ht="12.75" customHeight="1">
      <c r="A328" s="172"/>
      <c r="B328" s="172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</row>
    <row r="329" spans="1:27" ht="12.75" customHeight="1">
      <c r="A329" s="172"/>
      <c r="B329" s="172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</row>
    <row r="330" spans="1:27" ht="12.75" customHeight="1">
      <c r="A330" s="172"/>
      <c r="B330" s="172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</row>
    <row r="331" spans="1:27" ht="12.75" customHeight="1">
      <c r="A331" s="172"/>
      <c r="B331" s="172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</row>
    <row r="332" spans="1:27" ht="12.75" customHeight="1">
      <c r="A332" s="172"/>
      <c r="B332" s="172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</row>
    <row r="333" spans="1:27" ht="12.75" customHeight="1">
      <c r="A333" s="172"/>
      <c r="B333" s="172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</row>
    <row r="334" spans="1:27" ht="12.75" customHeight="1">
      <c r="A334" s="172"/>
      <c r="B334" s="172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</row>
    <row r="335" spans="1:27" ht="12.75" customHeight="1">
      <c r="A335" s="172"/>
      <c r="B335" s="172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</row>
    <row r="336" spans="1:27" ht="12.75" customHeight="1">
      <c r="A336" s="172"/>
      <c r="B336" s="172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</row>
    <row r="337" spans="1:27" ht="12.75" customHeight="1">
      <c r="A337" s="172"/>
      <c r="B337" s="172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</row>
    <row r="338" spans="1:27" ht="12.75" customHeight="1">
      <c r="A338" s="172"/>
      <c r="B338" s="172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</row>
    <row r="339" spans="1:27" ht="12.75" customHeight="1">
      <c r="A339" s="172"/>
      <c r="B339" s="172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</row>
    <row r="340" spans="1:27" ht="12.75" customHeight="1">
      <c r="A340" s="172"/>
      <c r="B340" s="172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</row>
    <row r="341" spans="1:27" ht="12.75" customHeight="1">
      <c r="A341" s="172"/>
      <c r="B341" s="172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</row>
    <row r="342" spans="1:27" ht="12.75" customHeight="1">
      <c r="A342" s="172"/>
      <c r="B342" s="172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</row>
    <row r="343" spans="1:27" ht="12.75" customHeight="1">
      <c r="A343" s="172"/>
      <c r="B343" s="172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</row>
    <row r="344" spans="1:27" ht="12.75" customHeight="1">
      <c r="A344" s="172"/>
      <c r="B344" s="172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</row>
    <row r="345" spans="1:27" ht="12.75" customHeight="1">
      <c r="A345" s="172"/>
      <c r="B345" s="172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</row>
    <row r="346" spans="1:27" ht="12.75" customHeight="1">
      <c r="A346" s="172"/>
      <c r="B346" s="172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</row>
    <row r="347" spans="1:27" ht="12.75" customHeight="1">
      <c r="A347" s="172"/>
      <c r="B347" s="172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</row>
    <row r="348" spans="1:27" ht="12.75" customHeight="1">
      <c r="A348" s="172"/>
      <c r="B348" s="172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</row>
    <row r="349" spans="1:27" ht="12.75" customHeight="1">
      <c r="A349" s="172"/>
      <c r="B349" s="172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</row>
    <row r="350" spans="1:27" ht="12.75" customHeight="1">
      <c r="A350" s="172"/>
      <c r="B350" s="172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</row>
    <row r="351" spans="1:27" ht="12.75" customHeight="1">
      <c r="A351" s="172"/>
      <c r="B351" s="172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</row>
    <row r="352" spans="1:27" ht="12.75" customHeight="1">
      <c r="A352" s="172"/>
      <c r="B352" s="172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</row>
    <row r="353" spans="1:27" ht="12.75" customHeight="1">
      <c r="A353" s="172"/>
      <c r="B353" s="172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</row>
    <row r="354" spans="1:27" ht="12.75" customHeight="1">
      <c r="A354" s="172"/>
      <c r="B354" s="172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</row>
    <row r="355" spans="1:27" ht="12.75" customHeight="1">
      <c r="A355" s="172"/>
      <c r="B355" s="172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</row>
    <row r="356" spans="1:27" ht="12.75" customHeight="1">
      <c r="A356" s="172"/>
      <c r="B356" s="172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</row>
    <row r="357" spans="1:27" ht="12.75" customHeight="1">
      <c r="A357" s="172"/>
      <c r="B357" s="172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</row>
    <row r="358" spans="1:27" ht="12.75" customHeight="1">
      <c r="A358" s="172"/>
      <c r="B358" s="172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</row>
    <row r="359" spans="1:27" ht="12.75" customHeight="1">
      <c r="A359" s="172"/>
      <c r="B359" s="172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</row>
    <row r="360" spans="1:27" ht="12.75" customHeight="1">
      <c r="A360" s="172"/>
      <c r="B360" s="172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</row>
    <row r="361" spans="1:27" ht="12.75" customHeight="1">
      <c r="A361" s="172"/>
      <c r="B361" s="172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</row>
    <row r="362" spans="1:27" ht="12.75" customHeight="1">
      <c r="A362" s="172"/>
      <c r="B362" s="172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</row>
    <row r="363" spans="1:27" ht="12.75" customHeight="1">
      <c r="A363" s="172"/>
      <c r="B363" s="172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</row>
    <row r="364" spans="1:27" ht="12.75" customHeight="1">
      <c r="A364" s="172"/>
      <c r="B364" s="172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</row>
    <row r="365" spans="1:27" ht="12.75" customHeight="1">
      <c r="A365" s="172"/>
      <c r="B365" s="172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</row>
    <row r="366" spans="1:27" ht="12.75" customHeight="1">
      <c r="A366" s="172"/>
      <c r="B366" s="172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</row>
    <row r="367" spans="1:27" ht="12.75" customHeight="1">
      <c r="A367" s="172"/>
      <c r="B367" s="172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</row>
    <row r="368" spans="1:27" ht="12.75" customHeight="1">
      <c r="A368" s="172"/>
      <c r="B368" s="172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</row>
    <row r="369" spans="1:27" ht="12.75" customHeight="1">
      <c r="A369" s="172"/>
      <c r="B369" s="172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</row>
    <row r="370" spans="1:27" ht="12.75" customHeight="1">
      <c r="A370" s="172"/>
      <c r="B370" s="172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</row>
    <row r="371" spans="1:27" ht="12.75" customHeight="1">
      <c r="A371" s="172"/>
      <c r="B371" s="172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</row>
    <row r="372" spans="1:27" ht="12.75" customHeight="1">
      <c r="A372" s="172"/>
      <c r="B372" s="172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</row>
    <row r="373" spans="1:27" ht="12.75" customHeight="1">
      <c r="A373" s="172"/>
      <c r="B373" s="172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</row>
    <row r="374" spans="1:27" ht="12.75" customHeight="1">
      <c r="A374" s="172"/>
      <c r="B374" s="172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</row>
    <row r="375" spans="1:27" ht="12.75" customHeight="1">
      <c r="A375" s="172"/>
      <c r="B375" s="172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</row>
    <row r="376" spans="1:27" ht="12.75" customHeight="1">
      <c r="A376" s="172"/>
      <c r="B376" s="172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</row>
    <row r="377" spans="1:27" ht="12.75" customHeight="1">
      <c r="A377" s="172"/>
      <c r="B377" s="172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</row>
    <row r="378" spans="1:27" ht="12.75" customHeight="1">
      <c r="A378" s="172"/>
      <c r="B378" s="172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</row>
    <row r="379" spans="1:27" ht="12.75" customHeight="1">
      <c r="A379" s="172"/>
      <c r="B379" s="172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</row>
    <row r="380" spans="1:27" ht="12.75" customHeight="1">
      <c r="A380" s="172"/>
      <c r="B380" s="172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</row>
    <row r="381" spans="1:27" ht="12.75" customHeight="1">
      <c r="A381" s="172"/>
      <c r="B381" s="172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</row>
    <row r="382" spans="1:27" ht="12.75" customHeight="1">
      <c r="A382" s="172"/>
      <c r="B382" s="172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</row>
    <row r="383" spans="1:27" ht="12.75" customHeight="1">
      <c r="A383" s="172"/>
      <c r="B383" s="172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</row>
    <row r="384" spans="1:27" ht="12.75" customHeight="1">
      <c r="A384" s="172"/>
      <c r="B384" s="172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</row>
    <row r="385" spans="1:27" ht="12.75" customHeight="1">
      <c r="A385" s="172"/>
      <c r="B385" s="172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</row>
    <row r="386" spans="1:27" ht="12.75" customHeight="1">
      <c r="A386" s="172"/>
      <c r="B386" s="172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</row>
    <row r="387" spans="1:27" ht="12.75" customHeight="1">
      <c r="A387" s="172"/>
      <c r="B387" s="172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</row>
    <row r="388" spans="1:27" ht="12.75" customHeight="1">
      <c r="A388" s="172"/>
      <c r="B388" s="172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</row>
    <row r="389" spans="1:27" ht="12.75" customHeight="1">
      <c r="A389" s="172"/>
      <c r="B389" s="172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</row>
    <row r="390" spans="1:27" ht="12.75" customHeight="1">
      <c r="A390" s="172"/>
      <c r="B390" s="172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</row>
    <row r="391" spans="1:27" ht="12.75" customHeight="1">
      <c r="A391" s="172"/>
      <c r="B391" s="172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</row>
    <row r="392" spans="1:27" ht="12.75" customHeight="1">
      <c r="A392" s="172"/>
      <c r="B392" s="172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</row>
    <row r="393" spans="1:27" ht="12.75" customHeight="1">
      <c r="A393" s="172"/>
      <c r="B393" s="172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</row>
    <row r="394" spans="1:27" ht="12.75" customHeight="1">
      <c r="A394" s="172"/>
      <c r="B394" s="172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</row>
    <row r="395" spans="1:27" ht="12.75" customHeight="1">
      <c r="A395" s="172"/>
      <c r="B395" s="172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</row>
    <row r="396" spans="1:27" ht="12.75" customHeight="1">
      <c r="A396" s="172"/>
      <c r="B396" s="172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</row>
    <row r="397" spans="1:27" ht="12.75" customHeight="1">
      <c r="A397" s="172"/>
      <c r="B397" s="172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</row>
    <row r="398" spans="1:27" ht="12.75" customHeight="1">
      <c r="A398" s="172"/>
      <c r="B398" s="172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</row>
    <row r="399" spans="1:27" ht="12.75" customHeight="1">
      <c r="A399" s="172"/>
      <c r="B399" s="172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</row>
    <row r="400" spans="1:27" ht="12.75" customHeight="1">
      <c r="A400" s="172"/>
      <c r="B400" s="172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</row>
    <row r="401" spans="1:27" ht="12.75" customHeight="1">
      <c r="A401" s="172"/>
      <c r="B401" s="172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</row>
    <row r="402" spans="1:27" ht="12.75" customHeight="1">
      <c r="A402" s="172"/>
      <c r="B402" s="172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</row>
    <row r="403" spans="1:27" ht="12.75" customHeight="1">
      <c r="A403" s="172"/>
      <c r="B403" s="172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</row>
    <row r="404" spans="1:27" ht="12.75" customHeight="1">
      <c r="A404" s="172"/>
      <c r="B404" s="172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</row>
    <row r="405" spans="1:27" ht="12.75" customHeight="1">
      <c r="A405" s="172"/>
      <c r="B405" s="172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</row>
    <row r="406" spans="1:27" ht="12.75" customHeight="1">
      <c r="A406" s="172"/>
      <c r="B406" s="172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</row>
    <row r="407" spans="1:27" ht="12.75" customHeight="1">
      <c r="A407" s="172"/>
      <c r="B407" s="172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</row>
    <row r="408" spans="1:27" ht="12.75" customHeight="1">
      <c r="A408" s="172"/>
      <c r="B408" s="172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</row>
    <row r="409" spans="1:27" ht="12.75" customHeight="1">
      <c r="A409" s="172"/>
      <c r="B409" s="172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</row>
    <row r="410" spans="1:27" ht="12.75" customHeight="1">
      <c r="A410" s="172"/>
      <c r="B410" s="172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</row>
    <row r="411" spans="1:27" ht="12.75" customHeight="1">
      <c r="A411" s="172"/>
      <c r="B411" s="172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</row>
    <row r="412" spans="1:27" ht="12.75" customHeight="1">
      <c r="A412" s="172"/>
      <c r="B412" s="172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</row>
    <row r="413" spans="1:27" ht="12.75" customHeight="1">
      <c r="A413" s="172"/>
      <c r="B413" s="172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</row>
    <row r="414" spans="1:27" ht="12.75" customHeight="1">
      <c r="A414" s="172"/>
      <c r="B414" s="172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</row>
    <row r="415" spans="1:27" ht="12.75" customHeight="1">
      <c r="A415" s="172"/>
      <c r="B415" s="172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</row>
    <row r="416" spans="1:27" ht="12.75" customHeight="1">
      <c r="A416" s="172"/>
      <c r="B416" s="172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</row>
    <row r="417" spans="1:27" ht="12.75" customHeight="1">
      <c r="A417" s="172"/>
      <c r="B417" s="172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</row>
    <row r="418" spans="1:27" ht="12.75" customHeight="1">
      <c r="A418" s="172"/>
      <c r="B418" s="172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</row>
    <row r="419" spans="1:27" ht="12.75" customHeight="1">
      <c r="A419" s="172"/>
      <c r="B419" s="172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</row>
    <row r="420" spans="1:27" ht="12.75" customHeight="1">
      <c r="A420" s="172"/>
      <c r="B420" s="172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</row>
    <row r="421" spans="1:27" ht="12.75" customHeight="1">
      <c r="A421" s="172"/>
      <c r="B421" s="172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</row>
    <row r="422" spans="1:27" ht="12.75" customHeight="1">
      <c r="A422" s="172"/>
      <c r="B422" s="172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</row>
    <row r="423" spans="1:27" ht="12.75" customHeight="1">
      <c r="A423" s="172"/>
      <c r="B423" s="172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</row>
    <row r="424" spans="1:27" ht="12.75" customHeight="1">
      <c r="A424" s="172"/>
      <c r="B424" s="172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</row>
    <row r="425" spans="1:27" ht="12.75" customHeight="1">
      <c r="A425" s="172"/>
      <c r="B425" s="172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</row>
    <row r="426" spans="1:27" ht="12.75" customHeight="1">
      <c r="A426" s="172"/>
      <c r="B426" s="172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</row>
    <row r="427" spans="1:27" ht="12.75" customHeight="1">
      <c r="A427" s="172"/>
      <c r="B427" s="172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</row>
    <row r="428" spans="1:27" ht="12.75" customHeight="1">
      <c r="A428" s="172"/>
      <c r="B428" s="172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</row>
    <row r="429" spans="1:27" ht="12.75" customHeight="1">
      <c r="A429" s="172"/>
      <c r="B429" s="172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</row>
    <row r="430" spans="1:27" ht="12.75" customHeight="1">
      <c r="A430" s="172"/>
      <c r="B430" s="172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</row>
    <row r="431" spans="1:27" ht="12.75" customHeight="1">
      <c r="A431" s="172"/>
      <c r="B431" s="172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</row>
    <row r="432" spans="1:27" ht="12.75" customHeight="1">
      <c r="A432" s="172"/>
      <c r="B432" s="172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</row>
    <row r="433" spans="1:27" ht="12.75" customHeight="1">
      <c r="A433" s="172"/>
      <c r="B433" s="172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</row>
    <row r="434" spans="1:27" ht="12.75" customHeight="1">
      <c r="A434" s="172"/>
      <c r="B434" s="172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</row>
    <row r="435" spans="1:27" ht="12.75" customHeight="1">
      <c r="A435" s="172"/>
      <c r="B435" s="172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</row>
    <row r="436" spans="1:27" ht="12.75" customHeight="1">
      <c r="A436" s="172"/>
      <c r="B436" s="172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</row>
    <row r="437" spans="1:27" ht="12.75" customHeight="1">
      <c r="A437" s="172"/>
      <c r="B437" s="172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</row>
    <row r="438" spans="1:27" ht="12.75" customHeight="1">
      <c r="A438" s="172"/>
      <c r="B438" s="172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</row>
    <row r="439" spans="1:27" ht="12.75" customHeight="1">
      <c r="A439" s="172"/>
      <c r="B439" s="172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</row>
    <row r="440" spans="1:27" ht="12.75" customHeight="1">
      <c r="A440" s="172"/>
      <c r="B440" s="172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</row>
    <row r="441" spans="1:27" ht="12.75" customHeight="1">
      <c r="A441" s="172"/>
      <c r="B441" s="172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</row>
    <row r="442" spans="1:27" ht="12.75" customHeight="1">
      <c r="A442" s="172"/>
      <c r="B442" s="172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</row>
    <row r="443" spans="1:27" ht="12.75" customHeight="1">
      <c r="A443" s="172"/>
      <c r="B443" s="172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</row>
    <row r="444" spans="1:27" ht="12.75" customHeight="1">
      <c r="A444" s="172"/>
      <c r="B444" s="172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</row>
    <row r="445" spans="1:27" ht="12.75" customHeight="1">
      <c r="A445" s="172"/>
      <c r="B445" s="172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</row>
    <row r="446" spans="1:27" ht="12.75" customHeight="1">
      <c r="A446" s="172"/>
      <c r="B446" s="172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</row>
    <row r="447" spans="1:27" ht="12.75" customHeight="1">
      <c r="A447" s="172"/>
      <c r="B447" s="172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</row>
    <row r="448" spans="1:27" ht="12.75" customHeight="1">
      <c r="A448" s="172"/>
      <c r="B448" s="172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</row>
    <row r="449" spans="1:27" ht="12.75" customHeight="1">
      <c r="A449" s="172"/>
      <c r="B449" s="172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</row>
    <row r="450" spans="1:27" ht="12.75" customHeight="1">
      <c r="A450" s="172"/>
      <c r="B450" s="172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</row>
    <row r="451" spans="1:27" ht="12.75" customHeight="1">
      <c r="A451" s="172"/>
      <c r="B451" s="172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</row>
    <row r="452" spans="1:27" ht="12.75" customHeight="1">
      <c r="A452" s="172"/>
      <c r="B452" s="172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</row>
    <row r="453" spans="1:27" ht="12.75" customHeight="1">
      <c r="A453" s="172"/>
      <c r="B453" s="172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</row>
    <row r="454" spans="1:27" ht="12.75" customHeight="1">
      <c r="A454" s="172"/>
      <c r="B454" s="172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</row>
    <row r="455" spans="1:27" ht="12.75" customHeight="1">
      <c r="A455" s="172"/>
      <c r="B455" s="172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</row>
    <row r="456" spans="1:27" ht="12.75" customHeight="1">
      <c r="A456" s="172"/>
      <c r="B456" s="172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</row>
    <row r="457" spans="1:27" ht="12.75" customHeight="1">
      <c r="A457" s="172"/>
      <c r="B457" s="172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</row>
    <row r="458" spans="1:27" ht="12.75" customHeight="1">
      <c r="A458" s="172"/>
      <c r="B458" s="172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</row>
    <row r="459" spans="1:27" ht="12.75" customHeight="1">
      <c r="A459" s="172"/>
      <c r="B459" s="172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</row>
    <row r="460" spans="1:27" ht="12.75" customHeight="1">
      <c r="A460" s="172"/>
      <c r="B460" s="172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</row>
    <row r="461" spans="1:27" ht="12.75" customHeight="1">
      <c r="A461" s="172"/>
      <c r="B461" s="172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</row>
    <row r="462" spans="1:27" ht="12.75" customHeight="1">
      <c r="A462" s="172"/>
      <c r="B462" s="172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</row>
    <row r="463" spans="1:27" ht="12.75" customHeight="1">
      <c r="A463" s="172"/>
      <c r="B463" s="172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</row>
    <row r="464" spans="1:27" ht="12.75" customHeight="1">
      <c r="A464" s="172"/>
      <c r="B464" s="172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</row>
    <row r="465" spans="1:27" ht="12.75" customHeight="1">
      <c r="A465" s="172"/>
      <c r="B465" s="172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</row>
    <row r="466" spans="1:27" ht="12.75" customHeight="1">
      <c r="A466" s="172"/>
      <c r="B466" s="172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</row>
    <row r="467" spans="1:27" ht="12.75" customHeight="1">
      <c r="A467" s="172"/>
      <c r="B467" s="172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</row>
    <row r="468" spans="1:27" ht="12.75" customHeight="1">
      <c r="A468" s="172"/>
      <c r="B468" s="172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</row>
    <row r="469" spans="1:27" ht="12.75" customHeight="1">
      <c r="A469" s="172"/>
      <c r="B469" s="172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</row>
    <row r="470" spans="1:27" ht="12.75" customHeight="1">
      <c r="A470" s="172"/>
      <c r="B470" s="172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</row>
    <row r="471" spans="1:27" ht="12.75" customHeight="1">
      <c r="A471" s="172"/>
      <c r="B471" s="172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</row>
    <row r="472" spans="1:27" ht="12.75" customHeight="1">
      <c r="A472" s="172"/>
      <c r="B472" s="172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</row>
    <row r="473" spans="1:27" ht="12.75" customHeight="1">
      <c r="A473" s="172"/>
      <c r="B473" s="172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</row>
    <row r="474" spans="1:27" ht="12.75" customHeight="1">
      <c r="A474" s="172"/>
      <c r="B474" s="172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</row>
    <row r="475" spans="1:27" ht="12.75" customHeight="1">
      <c r="A475" s="172"/>
      <c r="B475" s="172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</row>
    <row r="476" spans="1:27" ht="12.75" customHeight="1">
      <c r="A476" s="172"/>
      <c r="B476" s="172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</row>
    <row r="477" spans="1:27" ht="12.75" customHeight="1">
      <c r="A477" s="172"/>
      <c r="B477" s="172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</row>
    <row r="478" spans="1:27" ht="12.75" customHeight="1">
      <c r="A478" s="172"/>
      <c r="B478" s="172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</row>
    <row r="479" spans="1:27" ht="12.75" customHeight="1">
      <c r="A479" s="172"/>
      <c r="B479" s="172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</row>
    <row r="480" spans="1:27" ht="12.75" customHeight="1">
      <c r="A480" s="172"/>
      <c r="B480" s="172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</row>
    <row r="481" spans="1:27" ht="12.75" customHeight="1">
      <c r="A481" s="172"/>
      <c r="B481" s="172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</row>
    <row r="482" spans="1:27" ht="12.75" customHeight="1">
      <c r="A482" s="172"/>
      <c r="B482" s="172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</row>
    <row r="483" spans="1:27" ht="12.75" customHeight="1">
      <c r="A483" s="172"/>
      <c r="B483" s="172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</row>
    <row r="484" spans="1:27" ht="12.75" customHeight="1">
      <c r="A484" s="172"/>
      <c r="B484" s="172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</row>
    <row r="485" spans="1:27" ht="12.75" customHeight="1">
      <c r="A485" s="172"/>
      <c r="B485" s="172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</row>
    <row r="486" spans="1:27" ht="12.75" customHeight="1">
      <c r="A486" s="172"/>
      <c r="B486" s="172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</row>
    <row r="487" spans="1:27" ht="12.75" customHeight="1">
      <c r="A487" s="172"/>
      <c r="B487" s="172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</row>
    <row r="488" spans="1:27" ht="12.75" customHeight="1">
      <c r="A488" s="172"/>
      <c r="B488" s="172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</row>
    <row r="489" spans="1:27" ht="12.75" customHeight="1">
      <c r="A489" s="172"/>
      <c r="B489" s="172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</row>
    <row r="490" spans="1:27" ht="12.75" customHeight="1">
      <c r="A490" s="172"/>
      <c r="B490" s="172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</row>
    <row r="491" spans="1:27" ht="12.75" customHeight="1">
      <c r="A491" s="172"/>
      <c r="B491" s="172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</row>
    <row r="492" spans="1:27" ht="12.75" customHeight="1">
      <c r="A492" s="172"/>
      <c r="B492" s="172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</row>
    <row r="493" spans="1:27" ht="12.75" customHeight="1">
      <c r="A493" s="172"/>
      <c r="B493" s="172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</row>
    <row r="494" spans="1:27" ht="12.75" customHeight="1">
      <c r="A494" s="172"/>
      <c r="B494" s="172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</row>
    <row r="495" spans="1:27" ht="12.75" customHeight="1">
      <c r="A495" s="172"/>
      <c r="B495" s="172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</row>
    <row r="496" spans="1:27" ht="12.75" customHeight="1">
      <c r="A496" s="172"/>
      <c r="B496" s="172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</row>
    <row r="497" spans="1:27" ht="12.75" customHeight="1">
      <c r="A497" s="172"/>
      <c r="B497" s="172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</row>
    <row r="498" spans="1:27" ht="12.75" customHeight="1">
      <c r="A498" s="172"/>
      <c r="B498" s="172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</row>
    <row r="499" spans="1:27" ht="12.75" customHeight="1">
      <c r="A499" s="172"/>
      <c r="B499" s="172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</row>
    <row r="500" spans="1:27" ht="12.75" customHeight="1">
      <c r="A500" s="172"/>
      <c r="B500" s="172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</row>
    <row r="501" spans="1:27" ht="12.75" customHeight="1">
      <c r="A501" s="172"/>
      <c r="B501" s="172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</row>
    <row r="502" spans="1:27" ht="12.75" customHeight="1">
      <c r="A502" s="172"/>
      <c r="B502" s="172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</row>
    <row r="503" spans="1:27" ht="12.75" customHeight="1">
      <c r="A503" s="172"/>
      <c r="B503" s="172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</row>
    <row r="504" spans="1:27" ht="12.75" customHeight="1">
      <c r="A504" s="172"/>
      <c r="B504" s="172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</row>
    <row r="505" spans="1:27" ht="12.75" customHeight="1">
      <c r="A505" s="172"/>
      <c r="B505" s="172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</row>
    <row r="506" spans="1:27" ht="12.75" customHeight="1">
      <c r="A506" s="172"/>
      <c r="B506" s="172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</row>
    <row r="507" spans="1:27" ht="12.75" customHeight="1">
      <c r="A507" s="172"/>
      <c r="B507" s="172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</row>
    <row r="508" spans="1:27" ht="12.75" customHeight="1">
      <c r="A508" s="172"/>
      <c r="B508" s="172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</row>
    <row r="509" spans="1:27" ht="12.75" customHeight="1">
      <c r="A509" s="172"/>
      <c r="B509" s="172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</row>
    <row r="510" spans="1:27" ht="12.75" customHeight="1">
      <c r="A510" s="172"/>
      <c r="B510" s="172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</row>
    <row r="511" spans="1:27" ht="12.75" customHeight="1">
      <c r="A511" s="172"/>
      <c r="B511" s="172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</row>
    <row r="512" spans="1:27" ht="12.75" customHeight="1">
      <c r="A512" s="172"/>
      <c r="B512" s="172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</row>
    <row r="513" spans="1:27" ht="12.75" customHeight="1">
      <c r="A513" s="172"/>
      <c r="B513" s="172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</row>
    <row r="514" spans="1:27" ht="12.75" customHeight="1">
      <c r="A514" s="172"/>
      <c r="B514" s="172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</row>
    <row r="515" spans="1:27" ht="12.75" customHeight="1">
      <c r="A515" s="172"/>
      <c r="B515" s="172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</row>
    <row r="516" spans="1:27" ht="12.75" customHeight="1">
      <c r="A516" s="172"/>
      <c r="B516" s="172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</row>
    <row r="517" spans="1:27" ht="12.75" customHeight="1">
      <c r="A517" s="172"/>
      <c r="B517" s="172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</row>
    <row r="518" spans="1:27" ht="12.75" customHeight="1">
      <c r="A518" s="172"/>
      <c r="B518" s="172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</row>
    <row r="519" spans="1:27" ht="12.75" customHeight="1">
      <c r="A519" s="172"/>
      <c r="B519" s="172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</row>
    <row r="520" spans="1:27" ht="12.75" customHeight="1">
      <c r="A520" s="172"/>
      <c r="B520" s="172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</row>
    <row r="521" spans="1:27" ht="12.75" customHeight="1">
      <c r="A521" s="172"/>
      <c r="B521" s="172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</row>
    <row r="522" spans="1:27" ht="12.75" customHeight="1">
      <c r="A522" s="172"/>
      <c r="B522" s="172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</row>
    <row r="523" spans="1:27" ht="12.75" customHeight="1">
      <c r="A523" s="172"/>
      <c r="B523" s="172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</row>
    <row r="524" spans="1:27" ht="12.75" customHeight="1">
      <c r="A524" s="172"/>
      <c r="B524" s="172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</row>
    <row r="525" spans="1:27" ht="12.75" customHeight="1">
      <c r="A525" s="172"/>
      <c r="B525" s="172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</row>
    <row r="526" spans="1:27" ht="12.75" customHeight="1">
      <c r="A526" s="172"/>
      <c r="B526" s="172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</row>
    <row r="527" spans="1:27" ht="12.75" customHeight="1">
      <c r="A527" s="172"/>
      <c r="B527" s="172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</row>
    <row r="528" spans="1:27" ht="12.75" customHeight="1">
      <c r="A528" s="172"/>
      <c r="B528" s="172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</row>
    <row r="529" spans="1:27" ht="12.75" customHeight="1">
      <c r="A529" s="172"/>
      <c r="B529" s="172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</row>
    <row r="530" spans="1:27" ht="12.75" customHeight="1">
      <c r="A530" s="172"/>
      <c r="B530" s="172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</row>
    <row r="531" spans="1:27" ht="12.75" customHeight="1">
      <c r="A531" s="172"/>
      <c r="B531" s="172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</row>
    <row r="532" spans="1:27" ht="12.75" customHeight="1">
      <c r="A532" s="172"/>
      <c r="B532" s="172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</row>
    <row r="533" spans="1:27" ht="12.75" customHeight="1">
      <c r="A533" s="172"/>
      <c r="B533" s="172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</row>
    <row r="534" spans="1:27" ht="12.75" customHeight="1">
      <c r="A534" s="172"/>
      <c r="B534" s="172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</row>
    <row r="535" spans="1:27" ht="12.75" customHeight="1">
      <c r="A535" s="172"/>
      <c r="B535" s="172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</row>
    <row r="536" spans="1:27" ht="12.75" customHeight="1">
      <c r="A536" s="172"/>
      <c r="B536" s="172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</row>
    <row r="537" spans="1:27" ht="12.75" customHeight="1">
      <c r="A537" s="172"/>
      <c r="B537" s="172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</row>
    <row r="538" spans="1:27" ht="12.75" customHeight="1">
      <c r="A538" s="172"/>
      <c r="B538" s="172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</row>
    <row r="539" spans="1:27" ht="12.75" customHeight="1">
      <c r="A539" s="172"/>
      <c r="B539" s="172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</row>
    <row r="540" spans="1:27" ht="12.75" customHeight="1">
      <c r="A540" s="172"/>
      <c r="B540" s="172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</row>
    <row r="541" spans="1:27" ht="12.75" customHeight="1">
      <c r="A541" s="172"/>
      <c r="B541" s="172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</row>
    <row r="542" spans="1:27" ht="12.75" customHeight="1">
      <c r="A542" s="172"/>
      <c r="B542" s="172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</row>
    <row r="543" spans="1:27" ht="12.75" customHeight="1">
      <c r="A543" s="172"/>
      <c r="B543" s="172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</row>
    <row r="544" spans="1:27" ht="12.75" customHeight="1">
      <c r="A544" s="172"/>
      <c r="B544" s="172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</row>
    <row r="545" spans="1:27" ht="12.75" customHeight="1">
      <c r="A545" s="172"/>
      <c r="B545" s="172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</row>
    <row r="546" spans="1:27" ht="12.75" customHeight="1">
      <c r="A546" s="172"/>
      <c r="B546" s="172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</row>
    <row r="547" spans="1:27" ht="12.75" customHeight="1">
      <c r="A547" s="172"/>
      <c r="B547" s="172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</row>
    <row r="548" spans="1:27" ht="12.75" customHeight="1">
      <c r="A548" s="172"/>
      <c r="B548" s="172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</row>
    <row r="549" spans="1:27" ht="12.75" customHeight="1">
      <c r="A549" s="172"/>
      <c r="B549" s="172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</row>
    <row r="550" spans="1:27" ht="12.75" customHeight="1">
      <c r="A550" s="172"/>
      <c r="B550" s="172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</row>
    <row r="551" spans="1:27" ht="12.75" customHeight="1">
      <c r="A551" s="172"/>
      <c r="B551" s="172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</row>
    <row r="552" spans="1:27" ht="12.75" customHeight="1">
      <c r="A552" s="172"/>
      <c r="B552" s="172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</row>
    <row r="553" spans="1:27" ht="12.75" customHeight="1">
      <c r="A553" s="172"/>
      <c r="B553" s="172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</row>
    <row r="554" spans="1:27" ht="12.75" customHeight="1">
      <c r="A554" s="172"/>
      <c r="B554" s="172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</row>
    <row r="555" spans="1:27" ht="12.75" customHeight="1">
      <c r="A555" s="172"/>
      <c r="B555" s="172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</row>
    <row r="556" spans="1:27" ht="12.75" customHeight="1">
      <c r="A556" s="172"/>
      <c r="B556" s="172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</row>
    <row r="557" spans="1:27" ht="12.75" customHeight="1">
      <c r="A557" s="172"/>
      <c r="B557" s="172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</row>
    <row r="558" spans="1:27" ht="12.75" customHeight="1">
      <c r="A558" s="172"/>
      <c r="B558" s="172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</row>
    <row r="559" spans="1:27" ht="12.75" customHeight="1">
      <c r="A559" s="172"/>
      <c r="B559" s="172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</row>
    <row r="560" spans="1:27" ht="12.75" customHeight="1">
      <c r="A560" s="172"/>
      <c r="B560" s="172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</row>
    <row r="561" spans="1:27" ht="12.75" customHeight="1">
      <c r="A561" s="172"/>
      <c r="B561" s="172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</row>
    <row r="562" spans="1:27" ht="12.75" customHeight="1">
      <c r="A562" s="172"/>
      <c r="B562" s="172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</row>
    <row r="563" spans="1:27" ht="12.75" customHeight="1">
      <c r="A563" s="172"/>
      <c r="B563" s="172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</row>
    <row r="564" spans="1:27" ht="12.75" customHeight="1">
      <c r="A564" s="172"/>
      <c r="B564" s="172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</row>
    <row r="565" spans="1:27" ht="12.75" customHeight="1">
      <c r="A565" s="172"/>
      <c r="B565" s="172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</row>
    <row r="566" spans="1:27" ht="12.75" customHeight="1">
      <c r="A566" s="172"/>
      <c r="B566" s="172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</row>
    <row r="567" spans="1:27" ht="12.75" customHeight="1">
      <c r="A567" s="172"/>
      <c r="B567" s="172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</row>
    <row r="568" spans="1:27" ht="12.75" customHeight="1">
      <c r="A568" s="172"/>
      <c r="B568" s="172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</row>
    <row r="569" spans="1:27" ht="12.75" customHeight="1">
      <c r="A569" s="172"/>
      <c r="B569" s="172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</row>
    <row r="570" spans="1:27" ht="12.75" customHeight="1">
      <c r="A570" s="172"/>
      <c r="B570" s="172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</row>
    <row r="571" spans="1:27" ht="12.75" customHeight="1">
      <c r="A571" s="172"/>
      <c r="B571" s="172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</row>
    <row r="572" spans="1:27" ht="12.75" customHeight="1">
      <c r="A572" s="172"/>
      <c r="B572" s="172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</row>
    <row r="573" spans="1:27" ht="12.75" customHeight="1">
      <c r="A573" s="172"/>
      <c r="B573" s="172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</row>
    <row r="574" spans="1:27" ht="12.75" customHeight="1">
      <c r="A574" s="172"/>
      <c r="B574" s="172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</row>
    <row r="575" spans="1:27" ht="12.75" customHeight="1">
      <c r="A575" s="172"/>
      <c r="B575" s="172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</row>
    <row r="576" spans="1:27" ht="12.75" customHeight="1">
      <c r="A576" s="172"/>
      <c r="B576" s="172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</row>
    <row r="577" spans="1:27" ht="12.75" customHeight="1">
      <c r="A577" s="172"/>
      <c r="B577" s="172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</row>
    <row r="578" spans="1:27" ht="12.75" customHeight="1">
      <c r="A578" s="172"/>
      <c r="B578" s="172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</row>
    <row r="579" spans="1:27" ht="12.75" customHeight="1">
      <c r="A579" s="172"/>
      <c r="B579" s="172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</row>
    <row r="580" spans="1:27" ht="12.75" customHeight="1">
      <c r="A580" s="172"/>
      <c r="B580" s="172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</row>
    <row r="581" spans="1:27" ht="12.75" customHeight="1">
      <c r="A581" s="172"/>
      <c r="B581" s="172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</row>
    <row r="582" spans="1:27" ht="12.75" customHeight="1">
      <c r="A582" s="172"/>
      <c r="B582" s="172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</row>
    <row r="583" spans="1:27" ht="12.75" customHeight="1">
      <c r="A583" s="172"/>
      <c r="B583" s="172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</row>
    <row r="584" spans="1:27" ht="12.75" customHeight="1">
      <c r="A584" s="172"/>
      <c r="B584" s="172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</row>
    <row r="585" spans="1:27" ht="12.75" customHeight="1">
      <c r="A585" s="172"/>
      <c r="B585" s="172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</row>
    <row r="586" spans="1:27" ht="12.75" customHeight="1">
      <c r="A586" s="172"/>
      <c r="B586" s="172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</row>
    <row r="587" spans="1:27" ht="12.75" customHeight="1">
      <c r="A587" s="172"/>
      <c r="B587" s="172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</row>
    <row r="588" spans="1:27" ht="12.75" customHeight="1">
      <c r="A588" s="172"/>
      <c r="B588" s="172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</row>
    <row r="589" spans="1:27" ht="12.75" customHeight="1">
      <c r="A589" s="172"/>
      <c r="B589" s="172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</row>
    <row r="590" spans="1:27" ht="12.75" customHeight="1">
      <c r="A590" s="172"/>
      <c r="B590" s="172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</row>
    <row r="591" spans="1:27" ht="12.75" customHeight="1">
      <c r="A591" s="172"/>
      <c r="B591" s="172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</row>
    <row r="592" spans="1:27" ht="12.75" customHeight="1">
      <c r="A592" s="172"/>
      <c r="B592" s="172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</row>
    <row r="593" spans="1:27" ht="12.75" customHeight="1">
      <c r="A593" s="172"/>
      <c r="B593" s="172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</row>
    <row r="594" spans="1:27" ht="12.75" customHeight="1">
      <c r="A594" s="172"/>
      <c r="B594" s="172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</row>
    <row r="595" spans="1:27" ht="12.75" customHeight="1">
      <c r="A595" s="172"/>
      <c r="B595" s="172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</row>
    <row r="596" spans="1:27" ht="12.75" customHeight="1">
      <c r="A596" s="172"/>
      <c r="B596" s="172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</row>
    <row r="597" spans="1:27" ht="12.75" customHeight="1">
      <c r="A597" s="172"/>
      <c r="B597" s="172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</row>
    <row r="598" spans="1:27" ht="12.75" customHeight="1">
      <c r="A598" s="172"/>
      <c r="B598" s="172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</row>
    <row r="599" spans="1:27" ht="12.75" customHeight="1">
      <c r="A599" s="172"/>
      <c r="B599" s="172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</row>
    <row r="600" spans="1:27" ht="12.75" customHeight="1">
      <c r="A600" s="172"/>
      <c r="B600" s="172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</row>
    <row r="601" spans="1:27" ht="12.75" customHeight="1">
      <c r="A601" s="172"/>
      <c r="B601" s="172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</row>
    <row r="602" spans="1:27" ht="12.75" customHeight="1">
      <c r="A602" s="172"/>
      <c r="B602" s="172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</row>
    <row r="603" spans="1:27" ht="12.75" customHeight="1">
      <c r="A603" s="172"/>
      <c r="B603" s="172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</row>
    <row r="604" spans="1:27" ht="12.75" customHeight="1">
      <c r="A604" s="172"/>
      <c r="B604" s="172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</row>
    <row r="605" spans="1:27" ht="12.75" customHeight="1">
      <c r="A605" s="172"/>
      <c r="B605" s="172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</row>
    <row r="606" spans="1:27" ht="12.75" customHeight="1">
      <c r="A606" s="172"/>
      <c r="B606" s="172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</row>
    <row r="607" spans="1:27" ht="12.75" customHeight="1">
      <c r="A607" s="172"/>
      <c r="B607" s="172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</row>
    <row r="608" spans="1:27" ht="12.75" customHeight="1">
      <c r="A608" s="172"/>
      <c r="B608" s="172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</row>
    <row r="609" spans="1:27" ht="12.75" customHeight="1">
      <c r="A609" s="172"/>
      <c r="B609" s="172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</row>
    <row r="610" spans="1:27" ht="12.75" customHeight="1">
      <c r="A610" s="172"/>
      <c r="B610" s="172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</row>
    <row r="611" spans="1:27" ht="12.75" customHeight="1">
      <c r="A611" s="172"/>
      <c r="B611" s="172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</row>
    <row r="612" spans="1:27" ht="12.75" customHeight="1">
      <c r="A612" s="172"/>
      <c r="B612" s="172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</row>
    <row r="613" spans="1:27" ht="12.75" customHeight="1">
      <c r="A613" s="172"/>
      <c r="B613" s="172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</row>
    <row r="614" spans="1:27" ht="12.75" customHeight="1">
      <c r="A614" s="172"/>
      <c r="B614" s="172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</row>
    <row r="615" spans="1:27" ht="12.75" customHeight="1">
      <c r="A615" s="172"/>
      <c r="B615" s="172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</row>
    <row r="616" spans="1:27" ht="12.75" customHeight="1">
      <c r="A616" s="172"/>
      <c r="B616" s="172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</row>
    <row r="617" spans="1:27" ht="12.75" customHeight="1">
      <c r="A617" s="172"/>
      <c r="B617" s="172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</row>
    <row r="618" spans="1:27" ht="12.75" customHeight="1">
      <c r="A618" s="172"/>
      <c r="B618" s="172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</row>
    <row r="619" spans="1:27" ht="12.75" customHeight="1">
      <c r="A619" s="172"/>
      <c r="B619" s="172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</row>
    <row r="620" spans="1:27" ht="12.75" customHeight="1">
      <c r="A620" s="172"/>
      <c r="B620" s="172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</row>
    <row r="621" spans="1:27" ht="12.75" customHeight="1">
      <c r="A621" s="172"/>
      <c r="B621" s="172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</row>
    <row r="622" spans="1:27" ht="12.75" customHeight="1">
      <c r="A622" s="172"/>
      <c r="B622" s="172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</row>
    <row r="623" spans="1:27" ht="12.75" customHeight="1">
      <c r="A623" s="172"/>
      <c r="B623" s="172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</row>
    <row r="624" spans="1:27" ht="12.75" customHeight="1">
      <c r="A624" s="172"/>
      <c r="B624" s="172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</row>
    <row r="625" spans="1:27" ht="12.75" customHeight="1">
      <c r="A625" s="172"/>
      <c r="B625" s="172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</row>
    <row r="626" spans="1:27" ht="12.75" customHeight="1">
      <c r="A626" s="172"/>
      <c r="B626" s="172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</row>
    <row r="627" spans="1:27" ht="12.75" customHeight="1">
      <c r="A627" s="172"/>
      <c r="B627" s="172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</row>
    <row r="628" spans="1:27" ht="12.75" customHeight="1">
      <c r="A628" s="172"/>
      <c r="B628" s="172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</row>
    <row r="629" spans="1:27" ht="12.75" customHeight="1">
      <c r="A629" s="172"/>
      <c r="B629" s="172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</row>
    <row r="630" spans="1:27" ht="12.75" customHeight="1">
      <c r="A630" s="172"/>
      <c r="B630" s="172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</row>
    <row r="631" spans="1:27" ht="12.75" customHeight="1">
      <c r="A631" s="172"/>
      <c r="B631" s="172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</row>
    <row r="632" spans="1:27" ht="12.75" customHeight="1">
      <c r="A632" s="172"/>
      <c r="B632" s="172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</row>
    <row r="633" spans="1:27" ht="12.75" customHeight="1">
      <c r="A633" s="172"/>
      <c r="B633" s="172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</row>
    <row r="634" spans="1:27" ht="12.75" customHeight="1">
      <c r="A634" s="172"/>
      <c r="B634" s="172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</row>
    <row r="635" spans="1:27" ht="12.75" customHeight="1">
      <c r="A635" s="172"/>
      <c r="B635" s="172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</row>
    <row r="636" spans="1:27" ht="12.75" customHeight="1">
      <c r="A636" s="172"/>
      <c r="B636" s="172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</row>
    <row r="637" spans="1:27" ht="12.75" customHeight="1">
      <c r="A637" s="172"/>
      <c r="B637" s="172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</row>
    <row r="638" spans="1:27" ht="12.75" customHeight="1">
      <c r="A638" s="172"/>
      <c r="B638" s="172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</row>
    <row r="639" spans="1:27" ht="12.75" customHeight="1">
      <c r="A639" s="172"/>
      <c r="B639" s="172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</row>
    <row r="640" spans="1:27" ht="12.75" customHeight="1">
      <c r="A640" s="172"/>
      <c r="B640" s="172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</row>
    <row r="641" spans="1:27" ht="12.75" customHeight="1">
      <c r="A641" s="172"/>
      <c r="B641" s="172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</row>
    <row r="642" spans="1:27" ht="12.75" customHeight="1">
      <c r="A642" s="172"/>
      <c r="B642" s="172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</row>
    <row r="643" spans="1:27" ht="12.75" customHeight="1">
      <c r="A643" s="172"/>
      <c r="B643" s="172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</row>
    <row r="644" spans="1:27" ht="12.75" customHeight="1">
      <c r="A644" s="172"/>
      <c r="B644" s="172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</row>
    <row r="645" spans="1:27" ht="12.75" customHeight="1">
      <c r="A645" s="172"/>
      <c r="B645" s="172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</row>
    <row r="646" spans="1:27" ht="12.75" customHeight="1">
      <c r="A646" s="172"/>
      <c r="B646" s="172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</row>
    <row r="647" spans="1:27" ht="12.75" customHeight="1">
      <c r="A647" s="172"/>
      <c r="B647" s="172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</row>
    <row r="648" spans="1:27" ht="12.75" customHeight="1">
      <c r="A648" s="172"/>
      <c r="B648" s="172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</row>
    <row r="649" spans="1:27" ht="12.75" customHeight="1">
      <c r="A649" s="172"/>
      <c r="B649" s="172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</row>
    <row r="650" spans="1:27" ht="12.75" customHeight="1">
      <c r="A650" s="172"/>
      <c r="B650" s="172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</row>
    <row r="651" spans="1:27" ht="12.75" customHeight="1">
      <c r="A651" s="172"/>
      <c r="B651" s="172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</row>
    <row r="652" spans="1:27" ht="12.75" customHeight="1">
      <c r="A652" s="172"/>
      <c r="B652" s="172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</row>
    <row r="653" spans="1:27" ht="12.75" customHeight="1">
      <c r="A653" s="172"/>
      <c r="B653" s="172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</row>
    <row r="654" spans="1:27" ht="12.75" customHeight="1">
      <c r="A654" s="172"/>
      <c r="B654" s="172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</row>
    <row r="655" spans="1:27" ht="12.75" customHeight="1">
      <c r="A655" s="172"/>
      <c r="B655" s="172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</row>
    <row r="656" spans="1:27" ht="12.75" customHeight="1">
      <c r="A656" s="172"/>
      <c r="B656" s="172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</row>
    <row r="657" spans="1:27" ht="12.75" customHeight="1">
      <c r="A657" s="172"/>
      <c r="B657" s="172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</row>
    <row r="658" spans="1:27" ht="12.75" customHeight="1">
      <c r="A658" s="172"/>
      <c r="B658" s="172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</row>
    <row r="659" spans="1:27" ht="12.75" customHeight="1">
      <c r="A659" s="172"/>
      <c r="B659" s="172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</row>
    <row r="660" spans="1:27" ht="12.75" customHeight="1">
      <c r="A660" s="172"/>
      <c r="B660" s="172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</row>
    <row r="661" spans="1:27" ht="12.75" customHeight="1">
      <c r="A661" s="172"/>
      <c r="B661" s="172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</row>
    <row r="662" spans="1:27" ht="12.75" customHeight="1">
      <c r="A662" s="172"/>
      <c r="B662" s="172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</row>
    <row r="663" spans="1:27" ht="12.75" customHeight="1">
      <c r="A663" s="172"/>
      <c r="B663" s="172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</row>
    <row r="664" spans="1:27" ht="12.75" customHeight="1">
      <c r="A664" s="172"/>
      <c r="B664" s="172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</row>
    <row r="665" spans="1:27" ht="12.75" customHeight="1">
      <c r="A665" s="172"/>
      <c r="B665" s="172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</row>
    <row r="666" spans="1:27" ht="12.75" customHeight="1">
      <c r="A666" s="172"/>
      <c r="B666" s="172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</row>
    <row r="667" spans="1:27" ht="12.75" customHeight="1">
      <c r="A667" s="172"/>
      <c r="B667" s="172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</row>
    <row r="668" spans="1:27" ht="12.75" customHeight="1">
      <c r="A668" s="172"/>
      <c r="B668" s="172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</row>
    <row r="669" spans="1:27" ht="12.75" customHeight="1">
      <c r="A669" s="172"/>
      <c r="B669" s="172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</row>
    <row r="670" spans="1:27" ht="12.75" customHeight="1">
      <c r="A670" s="172"/>
      <c r="B670" s="172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</row>
    <row r="671" spans="1:27" ht="12.75" customHeight="1">
      <c r="A671" s="172"/>
      <c r="B671" s="172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</row>
    <row r="672" spans="1:27" ht="12.75" customHeight="1">
      <c r="A672" s="172"/>
      <c r="B672" s="172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</row>
    <row r="673" spans="1:27" ht="12.75" customHeight="1">
      <c r="A673" s="172"/>
      <c r="B673" s="172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</row>
    <row r="674" spans="1:27" ht="12.75" customHeight="1">
      <c r="A674" s="172"/>
      <c r="B674" s="172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</row>
    <row r="675" spans="1:27" ht="12.75" customHeight="1">
      <c r="A675" s="172"/>
      <c r="B675" s="172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</row>
    <row r="676" spans="1:27" ht="12.75" customHeight="1">
      <c r="A676" s="172"/>
      <c r="B676" s="172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</row>
    <row r="677" spans="1:27" ht="12.75" customHeight="1">
      <c r="A677" s="172"/>
      <c r="B677" s="172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</row>
    <row r="678" spans="1:27" ht="12.75" customHeight="1">
      <c r="A678" s="172"/>
      <c r="B678" s="172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</row>
    <row r="679" spans="1:27" ht="12.75" customHeight="1">
      <c r="A679" s="172"/>
      <c r="B679" s="172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</row>
    <row r="680" spans="1:27" ht="12.75" customHeight="1">
      <c r="A680" s="172"/>
      <c r="B680" s="172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</row>
    <row r="681" spans="1:27" ht="12.75" customHeight="1">
      <c r="A681" s="172"/>
      <c r="B681" s="172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</row>
    <row r="682" spans="1:27" ht="12.75" customHeight="1">
      <c r="A682" s="172"/>
      <c r="B682" s="172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</row>
    <row r="683" spans="1:27" ht="12.75" customHeight="1">
      <c r="A683" s="172"/>
      <c r="B683" s="172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</row>
    <row r="684" spans="1:27" ht="12.75" customHeight="1">
      <c r="A684" s="172"/>
      <c r="B684" s="172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</row>
    <row r="685" spans="1:27" ht="12.75" customHeight="1">
      <c r="A685" s="172"/>
      <c r="B685" s="172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</row>
    <row r="686" spans="1:27" ht="12.75" customHeight="1">
      <c r="A686" s="172"/>
      <c r="B686" s="172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</row>
    <row r="687" spans="1:27" ht="12.75" customHeight="1">
      <c r="A687" s="172"/>
      <c r="B687" s="172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</row>
    <row r="688" spans="1:27" ht="12.75" customHeight="1">
      <c r="A688" s="172"/>
      <c r="B688" s="172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</row>
    <row r="689" spans="1:27" ht="12.75" customHeight="1">
      <c r="A689" s="172"/>
      <c r="B689" s="172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</row>
    <row r="690" spans="1:27" ht="12.75" customHeight="1">
      <c r="A690" s="172"/>
      <c r="B690" s="172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</row>
    <row r="691" spans="1:27" ht="12.75" customHeight="1">
      <c r="A691" s="172"/>
      <c r="B691" s="172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</row>
    <row r="692" spans="1:27" ht="12.75" customHeight="1">
      <c r="A692" s="172"/>
      <c r="B692" s="172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</row>
    <row r="693" spans="1:27" ht="12.75" customHeight="1">
      <c r="A693" s="172"/>
      <c r="B693" s="172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</row>
    <row r="694" spans="1:27" ht="12.75" customHeight="1">
      <c r="A694" s="172"/>
      <c r="B694" s="172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</row>
    <row r="695" spans="1:27" ht="12.75" customHeight="1">
      <c r="A695" s="172"/>
      <c r="B695" s="172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</row>
    <row r="696" spans="1:27" ht="12.75" customHeight="1">
      <c r="A696" s="172"/>
      <c r="B696" s="172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</row>
    <row r="697" spans="1:27" ht="12.75" customHeight="1">
      <c r="A697" s="172"/>
      <c r="B697" s="172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</row>
    <row r="698" spans="1:27" ht="12.75" customHeight="1">
      <c r="A698" s="172"/>
      <c r="B698" s="172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</row>
    <row r="699" spans="1:27" ht="12.75" customHeight="1">
      <c r="A699" s="172"/>
      <c r="B699" s="172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</row>
    <row r="700" spans="1:27" ht="12.75" customHeight="1">
      <c r="A700" s="172"/>
      <c r="B700" s="172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</row>
    <row r="701" spans="1:27" ht="12.75" customHeight="1">
      <c r="A701" s="172"/>
      <c r="B701" s="172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</row>
    <row r="702" spans="1:27" ht="12.75" customHeight="1">
      <c r="A702" s="172"/>
      <c r="B702" s="172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</row>
    <row r="703" spans="1:27" ht="12.75" customHeight="1">
      <c r="A703" s="172"/>
      <c r="B703" s="172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</row>
    <row r="704" spans="1:27" ht="12.75" customHeight="1">
      <c r="A704" s="172"/>
      <c r="B704" s="172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</row>
    <row r="705" spans="1:27" ht="12.75" customHeight="1">
      <c r="A705" s="172"/>
      <c r="B705" s="172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</row>
    <row r="706" spans="1:27" ht="12.75" customHeight="1">
      <c r="A706" s="172"/>
      <c r="B706" s="172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</row>
    <row r="707" spans="1:27" ht="12.75" customHeight="1">
      <c r="A707" s="172"/>
      <c r="B707" s="172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</row>
    <row r="708" spans="1:27" ht="12.75" customHeight="1">
      <c r="A708" s="172"/>
      <c r="B708" s="172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</row>
    <row r="709" spans="1:27" ht="12.75" customHeight="1">
      <c r="A709" s="172"/>
      <c r="B709" s="172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</row>
    <row r="710" spans="1:27" ht="12.75" customHeight="1">
      <c r="A710" s="172"/>
      <c r="B710" s="172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</row>
    <row r="711" spans="1:27" ht="12.75" customHeight="1">
      <c r="A711" s="172"/>
      <c r="B711" s="172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</row>
    <row r="712" spans="1:27" ht="12.75" customHeight="1">
      <c r="A712" s="172"/>
      <c r="B712" s="172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</row>
    <row r="713" spans="1:27" ht="12.75" customHeight="1">
      <c r="A713" s="172"/>
      <c r="B713" s="172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</row>
    <row r="714" spans="1:27" ht="12.75" customHeight="1">
      <c r="A714" s="172"/>
      <c r="B714" s="172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</row>
    <row r="715" spans="1:27" ht="12.75" customHeight="1">
      <c r="A715" s="172"/>
      <c r="B715" s="172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</row>
    <row r="716" spans="1:27" ht="12.75" customHeight="1">
      <c r="A716" s="172"/>
      <c r="B716" s="172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</row>
    <row r="717" spans="1:27" ht="12.75" customHeight="1">
      <c r="A717" s="172"/>
      <c r="B717" s="172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</row>
    <row r="718" spans="1:27" ht="12.75" customHeight="1">
      <c r="A718" s="172"/>
      <c r="B718" s="172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</row>
    <row r="719" spans="1:27" ht="12.75" customHeight="1">
      <c r="A719" s="172"/>
      <c r="B719" s="172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</row>
    <row r="720" spans="1:27" ht="12.75" customHeight="1">
      <c r="A720" s="172"/>
      <c r="B720" s="172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</row>
    <row r="721" spans="1:27" ht="12.75" customHeight="1">
      <c r="A721" s="172"/>
      <c r="B721" s="172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</row>
    <row r="722" spans="1:27" ht="12.75" customHeight="1">
      <c r="A722" s="172"/>
      <c r="B722" s="172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</row>
    <row r="723" spans="1:27" ht="12.75" customHeight="1">
      <c r="A723" s="172"/>
      <c r="B723" s="172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</row>
    <row r="724" spans="1:27" ht="12.75" customHeight="1">
      <c r="A724" s="172"/>
      <c r="B724" s="172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</row>
    <row r="725" spans="1:27" ht="12.75" customHeight="1">
      <c r="A725" s="172"/>
      <c r="B725" s="172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</row>
    <row r="726" spans="1:27" ht="12.75" customHeight="1">
      <c r="A726" s="172"/>
      <c r="B726" s="172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</row>
    <row r="727" spans="1:27" ht="12.75" customHeight="1">
      <c r="A727" s="172"/>
      <c r="B727" s="172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</row>
    <row r="728" spans="1:27" ht="12.75" customHeight="1">
      <c r="A728" s="172"/>
      <c r="B728" s="172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</row>
    <row r="729" spans="1:27" ht="12.75" customHeight="1">
      <c r="A729" s="172"/>
      <c r="B729" s="172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</row>
    <row r="730" spans="1:27" ht="12.75" customHeight="1">
      <c r="A730" s="172"/>
      <c r="B730" s="172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</row>
    <row r="731" spans="1:27" ht="12.75" customHeight="1">
      <c r="A731" s="172"/>
      <c r="B731" s="172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</row>
    <row r="732" spans="1:27" ht="12.75" customHeight="1">
      <c r="A732" s="172"/>
      <c r="B732" s="172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</row>
    <row r="733" spans="1:27" ht="12.75" customHeight="1">
      <c r="A733" s="172"/>
      <c r="B733" s="172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</row>
    <row r="734" spans="1:27" ht="12.75" customHeight="1">
      <c r="A734" s="172"/>
      <c r="B734" s="172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</row>
    <row r="735" spans="1:27" ht="12.75" customHeight="1">
      <c r="A735" s="172"/>
      <c r="B735" s="172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</row>
    <row r="736" spans="1:27" ht="12.75" customHeight="1">
      <c r="A736" s="172"/>
      <c r="B736" s="172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</row>
    <row r="737" spans="1:27" ht="12.75" customHeight="1">
      <c r="A737" s="172"/>
      <c r="B737" s="172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</row>
    <row r="738" spans="1:27" ht="12.75" customHeight="1">
      <c r="A738" s="172"/>
      <c r="B738" s="172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</row>
    <row r="739" spans="1:27" ht="12.75" customHeight="1">
      <c r="A739" s="172"/>
      <c r="B739" s="172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</row>
    <row r="740" spans="1:27" ht="12.75" customHeight="1">
      <c r="A740" s="172"/>
      <c r="B740" s="172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</row>
    <row r="741" spans="1:27" ht="12.75" customHeight="1">
      <c r="A741" s="172"/>
      <c r="B741" s="172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</row>
    <row r="742" spans="1:27" ht="12.75" customHeight="1">
      <c r="A742" s="172"/>
      <c r="B742" s="172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</row>
    <row r="743" spans="1:27" ht="12.75" customHeight="1">
      <c r="A743" s="172"/>
      <c r="B743" s="172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</row>
    <row r="744" spans="1:27" ht="12.75" customHeight="1">
      <c r="A744" s="172"/>
      <c r="B744" s="172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</row>
    <row r="745" spans="1:27" ht="12.75" customHeight="1">
      <c r="A745" s="172"/>
      <c r="B745" s="172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</row>
    <row r="746" spans="1:27" ht="12.75" customHeight="1">
      <c r="A746" s="172"/>
      <c r="B746" s="172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</row>
    <row r="747" spans="1:27" ht="12.75" customHeight="1">
      <c r="A747" s="172"/>
      <c r="B747" s="172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</row>
    <row r="748" spans="1:27" ht="12.75" customHeight="1">
      <c r="A748" s="172"/>
      <c r="B748" s="172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</row>
    <row r="749" spans="1:27" ht="12.75" customHeight="1">
      <c r="A749" s="172"/>
      <c r="B749" s="172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</row>
    <row r="750" spans="1:27" ht="12.75" customHeight="1">
      <c r="A750" s="172"/>
      <c r="B750" s="172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</row>
    <row r="751" spans="1:27" ht="12.75" customHeight="1">
      <c r="A751" s="172"/>
      <c r="B751" s="172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</row>
    <row r="752" spans="1:27" ht="12.75" customHeight="1">
      <c r="A752" s="172"/>
      <c r="B752" s="172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</row>
    <row r="753" spans="1:27" ht="12.75" customHeight="1">
      <c r="A753" s="172"/>
      <c r="B753" s="172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</row>
    <row r="754" spans="1:27" ht="12.75" customHeight="1">
      <c r="A754" s="172"/>
      <c r="B754" s="172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</row>
    <row r="755" spans="1:27" ht="12.75" customHeight="1">
      <c r="A755" s="172"/>
      <c r="B755" s="172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</row>
    <row r="756" spans="1:27" ht="12.75" customHeight="1">
      <c r="A756" s="172"/>
      <c r="B756" s="172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</row>
    <row r="757" spans="1:27" ht="12.75" customHeight="1">
      <c r="A757" s="172"/>
      <c r="B757" s="172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</row>
    <row r="758" spans="1:27" ht="12.75" customHeight="1">
      <c r="A758" s="172"/>
      <c r="B758" s="172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</row>
    <row r="759" spans="1:27" ht="12.75" customHeight="1">
      <c r="A759" s="172"/>
      <c r="B759" s="172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</row>
    <row r="760" spans="1:27" ht="12.75" customHeight="1">
      <c r="A760" s="172"/>
      <c r="B760" s="172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</row>
    <row r="761" spans="1:27" ht="12.75" customHeight="1">
      <c r="A761" s="172"/>
      <c r="B761" s="172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</row>
    <row r="762" spans="1:27" ht="12.75" customHeight="1">
      <c r="A762" s="172"/>
      <c r="B762" s="172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</row>
    <row r="763" spans="1:27" ht="12.75" customHeight="1">
      <c r="A763" s="172"/>
      <c r="B763" s="172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</row>
    <row r="764" spans="1:27" ht="12.75" customHeight="1">
      <c r="A764" s="172"/>
      <c r="B764" s="172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</row>
    <row r="765" spans="1:27" ht="12.75" customHeight="1">
      <c r="A765" s="172"/>
      <c r="B765" s="172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</row>
    <row r="766" spans="1:27" ht="12.75" customHeight="1">
      <c r="A766" s="172"/>
      <c r="B766" s="172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</row>
    <row r="767" spans="1:27" ht="12.75" customHeight="1">
      <c r="A767" s="172"/>
      <c r="B767" s="172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</row>
    <row r="768" spans="1:27" ht="12.75" customHeight="1">
      <c r="A768" s="172"/>
      <c r="B768" s="172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</row>
    <row r="769" spans="1:27" ht="12.75" customHeight="1">
      <c r="A769" s="172"/>
      <c r="B769" s="172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</row>
    <row r="770" spans="1:27" ht="12.75" customHeight="1">
      <c r="A770" s="172"/>
      <c r="B770" s="172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</row>
    <row r="771" spans="1:27" ht="12.75" customHeight="1">
      <c r="A771" s="172"/>
      <c r="B771" s="172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</row>
    <row r="772" spans="1:27" ht="12.75" customHeight="1">
      <c r="A772" s="172"/>
      <c r="B772" s="172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</row>
    <row r="773" spans="1:27" ht="12.75" customHeight="1">
      <c r="A773" s="172"/>
      <c r="B773" s="172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</row>
    <row r="774" spans="1:27" ht="12.75" customHeight="1">
      <c r="A774" s="172"/>
      <c r="B774" s="172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</row>
    <row r="775" spans="1:27" ht="12.75" customHeight="1">
      <c r="A775" s="172"/>
      <c r="B775" s="172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</row>
    <row r="776" spans="1:27" ht="12.75" customHeight="1">
      <c r="A776" s="172"/>
      <c r="B776" s="172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</row>
    <row r="777" spans="1:27" ht="12.75" customHeight="1">
      <c r="A777" s="172"/>
      <c r="B777" s="172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</row>
    <row r="778" spans="1:27" ht="12.75" customHeight="1">
      <c r="A778" s="172"/>
      <c r="B778" s="172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</row>
    <row r="779" spans="1:27" ht="12.75" customHeight="1">
      <c r="A779" s="172"/>
      <c r="B779" s="172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</row>
    <row r="780" spans="1:27" ht="12.75" customHeight="1">
      <c r="A780" s="172"/>
      <c r="B780" s="172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</row>
    <row r="781" spans="1:27" ht="12.75" customHeight="1">
      <c r="A781" s="172"/>
      <c r="B781" s="172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</row>
    <row r="782" spans="1:27" ht="12.75" customHeight="1">
      <c r="A782" s="172"/>
      <c r="B782" s="172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</row>
    <row r="783" spans="1:27" ht="12.75" customHeight="1">
      <c r="A783" s="172"/>
      <c r="B783" s="172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</row>
    <row r="784" spans="1:27" ht="12.75" customHeight="1">
      <c r="A784" s="172"/>
      <c r="B784" s="172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</row>
    <row r="785" spans="1:27" ht="12.75" customHeight="1">
      <c r="A785" s="172"/>
      <c r="B785" s="172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</row>
    <row r="786" spans="1:27" ht="12.75" customHeight="1">
      <c r="A786" s="172"/>
      <c r="B786" s="172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</row>
    <row r="787" spans="1:27" ht="12.75" customHeight="1">
      <c r="A787" s="172"/>
      <c r="B787" s="172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</row>
    <row r="788" spans="1:27" ht="12.75" customHeight="1">
      <c r="A788" s="172"/>
      <c r="B788" s="172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</row>
    <row r="789" spans="1:27" ht="12.75" customHeight="1">
      <c r="A789" s="172"/>
      <c r="B789" s="172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</row>
    <row r="790" spans="1:27" ht="12.75" customHeight="1">
      <c r="A790" s="172"/>
      <c r="B790" s="172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</row>
    <row r="791" spans="1:27" ht="12.75" customHeight="1">
      <c r="A791" s="172"/>
      <c r="B791" s="172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</row>
    <row r="792" spans="1:27" ht="12.75" customHeight="1">
      <c r="A792" s="172"/>
      <c r="B792" s="172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</row>
    <row r="793" spans="1:27" ht="12.75" customHeight="1">
      <c r="A793" s="172"/>
      <c r="B793" s="172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</row>
    <row r="794" spans="1:27" ht="12.75" customHeight="1">
      <c r="A794" s="172"/>
      <c r="B794" s="172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</row>
    <row r="795" spans="1:27" ht="12.75" customHeight="1">
      <c r="A795" s="172"/>
      <c r="B795" s="172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</row>
    <row r="796" spans="1:27" ht="12.75" customHeight="1">
      <c r="A796" s="172"/>
      <c r="B796" s="172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</row>
    <row r="797" spans="1:27" ht="12.75" customHeight="1">
      <c r="A797" s="172"/>
      <c r="B797" s="172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</row>
    <row r="798" spans="1:27" ht="12.75" customHeight="1">
      <c r="A798" s="172"/>
      <c r="B798" s="172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</row>
    <row r="799" spans="1:27" ht="12.75" customHeight="1">
      <c r="A799" s="172"/>
      <c r="B799" s="172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</row>
    <row r="800" spans="1:27" ht="12.75" customHeight="1">
      <c r="A800" s="172"/>
      <c r="B800" s="172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</row>
    <row r="801" spans="1:27" ht="12.75" customHeight="1">
      <c r="A801" s="172"/>
      <c r="B801" s="172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</row>
    <row r="802" spans="1:27" ht="12.75" customHeight="1">
      <c r="A802" s="172"/>
      <c r="B802" s="172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</row>
    <row r="803" spans="1:27" ht="12.75" customHeight="1">
      <c r="A803" s="172"/>
      <c r="B803" s="172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</row>
    <row r="804" spans="1:27" ht="12.75" customHeight="1">
      <c r="A804" s="172"/>
      <c r="B804" s="172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</row>
    <row r="805" spans="1:27" ht="12.75" customHeight="1">
      <c r="A805" s="172"/>
      <c r="B805" s="172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</row>
    <row r="806" spans="1:27" ht="12.75" customHeight="1">
      <c r="A806" s="172"/>
      <c r="B806" s="172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</row>
    <row r="807" spans="1:27" ht="12.75" customHeight="1">
      <c r="A807" s="172"/>
      <c r="B807" s="172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</row>
    <row r="808" spans="1:27" ht="12.75" customHeight="1">
      <c r="A808" s="172"/>
      <c r="B808" s="172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</row>
    <row r="809" spans="1:27" ht="12.75" customHeight="1">
      <c r="A809" s="172"/>
      <c r="B809" s="172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</row>
    <row r="810" spans="1:27" ht="12.75" customHeight="1">
      <c r="A810" s="172"/>
      <c r="B810" s="172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</row>
    <row r="811" spans="1:27" ht="12.75" customHeight="1">
      <c r="A811" s="172"/>
      <c r="B811" s="172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</row>
    <row r="812" spans="1:27" ht="12.75" customHeight="1">
      <c r="A812" s="172"/>
      <c r="B812" s="172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</row>
    <row r="813" spans="1:27" ht="12.75" customHeight="1">
      <c r="A813" s="172"/>
      <c r="B813" s="172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</row>
    <row r="814" spans="1:27" ht="12.75" customHeight="1">
      <c r="A814" s="172"/>
      <c r="B814" s="172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</row>
    <row r="815" spans="1:27" ht="12.75" customHeight="1">
      <c r="A815" s="172"/>
      <c r="B815" s="172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</row>
    <row r="816" spans="1:27" ht="12.75" customHeight="1">
      <c r="A816" s="172"/>
      <c r="B816" s="172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</row>
    <row r="817" spans="1:27" ht="12.75" customHeight="1">
      <c r="A817" s="172"/>
      <c r="B817" s="172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</row>
    <row r="818" spans="1:27" ht="12.75" customHeight="1">
      <c r="A818" s="172"/>
      <c r="B818" s="172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</row>
    <row r="819" spans="1:27" ht="12.75" customHeight="1">
      <c r="A819" s="172"/>
      <c r="B819" s="172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</row>
    <row r="820" spans="1:27" ht="12.75" customHeight="1">
      <c r="A820" s="172"/>
      <c r="B820" s="172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</row>
    <row r="821" spans="1:27" ht="12.75" customHeight="1">
      <c r="A821" s="172"/>
      <c r="B821" s="172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</row>
    <row r="822" spans="1:27" ht="12.75" customHeight="1">
      <c r="A822" s="172"/>
      <c r="B822" s="172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</row>
    <row r="823" spans="1:27" ht="12.75" customHeight="1">
      <c r="A823" s="172"/>
      <c r="B823" s="172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</row>
    <row r="824" spans="1:27" ht="12.75" customHeight="1">
      <c r="A824" s="172"/>
      <c r="B824" s="172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</row>
    <row r="825" spans="1:27" ht="12.75" customHeight="1">
      <c r="A825" s="172"/>
      <c r="B825" s="172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</row>
    <row r="826" spans="1:27" ht="12.75" customHeight="1">
      <c r="A826" s="172"/>
      <c r="B826" s="172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</row>
    <row r="827" spans="1:27" ht="12.75" customHeight="1">
      <c r="A827" s="172"/>
      <c r="B827" s="172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</row>
    <row r="828" spans="1:27" ht="12.75" customHeight="1">
      <c r="A828" s="172"/>
      <c r="B828" s="172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</row>
    <row r="829" spans="1:27" ht="12.75" customHeight="1">
      <c r="A829" s="172"/>
      <c r="B829" s="172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</row>
    <row r="830" spans="1:27" ht="12.75" customHeight="1">
      <c r="A830" s="172"/>
      <c r="B830" s="172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</row>
    <row r="831" spans="1:27" ht="12.75" customHeight="1">
      <c r="A831" s="172"/>
      <c r="B831" s="172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</row>
    <row r="832" spans="1:27" ht="12.75" customHeight="1">
      <c r="A832" s="172"/>
      <c r="B832" s="172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</row>
    <row r="833" spans="1:27" ht="12.75" customHeight="1">
      <c r="A833" s="172"/>
      <c r="B833" s="172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</row>
    <row r="834" spans="1:27" ht="12.75" customHeight="1">
      <c r="A834" s="172"/>
      <c r="B834" s="172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</row>
    <row r="835" spans="1:27" ht="12.75" customHeight="1">
      <c r="A835" s="172"/>
      <c r="B835" s="172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</row>
    <row r="836" spans="1:27" ht="12.75" customHeight="1">
      <c r="A836" s="172"/>
      <c r="B836" s="172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</row>
    <row r="837" spans="1:27" ht="12.75" customHeight="1">
      <c r="A837" s="172"/>
      <c r="B837" s="172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</row>
    <row r="838" spans="1:27" ht="12.75" customHeight="1">
      <c r="A838" s="172"/>
      <c r="B838" s="172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</row>
    <row r="839" spans="1:27" ht="12.75" customHeight="1">
      <c r="A839" s="172"/>
      <c r="B839" s="172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</row>
    <row r="840" spans="1:27" ht="12.75" customHeight="1">
      <c r="A840" s="172"/>
      <c r="B840" s="172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</row>
    <row r="841" spans="1:27" ht="12.75" customHeight="1">
      <c r="A841" s="172"/>
      <c r="B841" s="172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</row>
    <row r="842" spans="1:27" ht="12.75" customHeight="1">
      <c r="A842" s="172"/>
      <c r="B842" s="172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</row>
    <row r="843" spans="1:27" ht="12.75" customHeight="1">
      <c r="A843" s="172"/>
      <c r="B843" s="172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</row>
    <row r="844" spans="1:27" ht="12.75" customHeight="1">
      <c r="A844" s="172"/>
      <c r="B844" s="172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</row>
    <row r="845" spans="1:27" ht="12.75" customHeight="1">
      <c r="A845" s="172"/>
      <c r="B845" s="172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</row>
    <row r="846" spans="1:27" ht="12.75" customHeight="1">
      <c r="A846" s="172"/>
      <c r="B846" s="172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</row>
    <row r="847" spans="1:27" ht="12.75" customHeight="1">
      <c r="A847" s="172"/>
      <c r="B847" s="172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</row>
    <row r="848" spans="1:27" ht="12.75" customHeight="1">
      <c r="A848" s="172"/>
      <c r="B848" s="172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</row>
    <row r="849" spans="1:27" ht="12.75" customHeight="1">
      <c r="A849" s="172"/>
      <c r="B849" s="172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</row>
    <row r="850" spans="1:27" ht="12.75" customHeight="1">
      <c r="A850" s="172"/>
      <c r="B850" s="172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</row>
    <row r="851" spans="1:27" ht="12.75" customHeight="1">
      <c r="A851" s="172"/>
      <c r="B851" s="172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</row>
    <row r="852" spans="1:27" ht="12.75" customHeight="1">
      <c r="A852" s="172"/>
      <c r="B852" s="172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</row>
    <row r="853" spans="1:27" ht="12.75" customHeight="1">
      <c r="A853" s="172"/>
      <c r="B853" s="172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</row>
    <row r="854" spans="1:27" ht="12.75" customHeight="1">
      <c r="A854" s="172"/>
      <c r="B854" s="172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</row>
    <row r="855" spans="1:27" ht="12.75" customHeight="1">
      <c r="A855" s="172"/>
      <c r="B855" s="172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</row>
    <row r="856" spans="1:27" ht="12.75" customHeight="1">
      <c r="A856" s="172"/>
      <c r="B856" s="172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</row>
    <row r="857" spans="1:27" ht="12.75" customHeight="1">
      <c r="A857" s="172"/>
      <c r="B857" s="172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</row>
    <row r="858" spans="1:27" ht="12.75" customHeight="1">
      <c r="A858" s="172"/>
      <c r="B858" s="172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</row>
    <row r="859" spans="1:27" ht="12.75" customHeight="1">
      <c r="A859" s="172"/>
      <c r="B859" s="172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</row>
    <row r="860" spans="1:27" ht="12.75" customHeight="1">
      <c r="A860" s="172"/>
      <c r="B860" s="172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</row>
    <row r="861" spans="1:27" ht="12.75" customHeight="1">
      <c r="A861" s="172"/>
      <c r="B861" s="172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</row>
    <row r="862" spans="1:27" ht="12.75" customHeight="1">
      <c r="A862" s="172"/>
      <c r="B862" s="172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</row>
    <row r="863" spans="1:27" ht="12.75" customHeight="1">
      <c r="A863" s="172"/>
      <c r="B863" s="172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</row>
    <row r="864" spans="1:27" ht="12.75" customHeight="1">
      <c r="A864" s="172"/>
      <c r="B864" s="172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</row>
    <row r="865" spans="1:27" ht="12.75" customHeight="1">
      <c r="A865" s="172"/>
      <c r="B865" s="172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</row>
    <row r="866" spans="1:27" ht="12.75" customHeight="1">
      <c r="A866" s="172"/>
      <c r="B866" s="172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</row>
    <row r="867" spans="1:27" ht="12.75" customHeight="1">
      <c r="A867" s="172"/>
      <c r="B867" s="172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</row>
    <row r="868" spans="1:27" ht="12.75" customHeight="1">
      <c r="A868" s="172"/>
      <c r="B868" s="172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</row>
    <row r="869" spans="1:27" ht="12.75" customHeight="1">
      <c r="A869" s="172"/>
      <c r="B869" s="172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</row>
    <row r="870" spans="1:27" ht="12.75" customHeight="1">
      <c r="A870" s="172"/>
      <c r="B870" s="172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</row>
    <row r="871" spans="1:27" ht="12.75" customHeight="1">
      <c r="A871" s="172"/>
      <c r="B871" s="172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</row>
    <row r="872" spans="1:27" ht="12.75" customHeight="1">
      <c r="A872" s="172"/>
      <c r="B872" s="172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</row>
    <row r="873" spans="1:27" ht="12.75" customHeight="1">
      <c r="A873" s="172"/>
      <c r="B873" s="172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</row>
    <row r="874" spans="1:27" ht="12.75" customHeight="1">
      <c r="A874" s="172"/>
      <c r="B874" s="172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</row>
    <row r="875" spans="1:27" ht="12.75" customHeight="1">
      <c r="A875" s="172"/>
      <c r="B875" s="172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</row>
    <row r="876" spans="1:27" ht="12.75" customHeight="1">
      <c r="A876" s="172"/>
      <c r="B876" s="172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</row>
    <row r="877" spans="1:27" ht="12.75" customHeight="1">
      <c r="A877" s="172"/>
      <c r="B877" s="172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</row>
    <row r="878" spans="1:27" ht="12.75" customHeight="1">
      <c r="A878" s="172"/>
      <c r="B878" s="172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</row>
    <row r="879" spans="1:27" ht="12.75" customHeight="1">
      <c r="A879" s="172"/>
      <c r="B879" s="172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</row>
    <row r="880" spans="1:27" ht="12.75" customHeight="1">
      <c r="A880" s="172"/>
      <c r="B880" s="172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</row>
    <row r="881" spans="1:27" ht="12.75" customHeight="1">
      <c r="A881" s="172"/>
      <c r="B881" s="172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</row>
    <row r="882" spans="1:27" ht="12.75" customHeight="1">
      <c r="A882" s="172"/>
      <c r="B882" s="172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</row>
    <row r="883" spans="1:27" ht="12.75" customHeight="1">
      <c r="A883" s="172"/>
      <c r="B883" s="172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</row>
    <row r="884" spans="1:27" ht="12.75" customHeight="1">
      <c r="A884" s="172"/>
      <c r="B884" s="172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</row>
    <row r="885" spans="1:27" ht="12.75" customHeight="1">
      <c r="A885" s="172"/>
      <c r="B885" s="172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</row>
    <row r="886" spans="1:27" ht="12.75" customHeight="1">
      <c r="A886" s="172"/>
      <c r="B886" s="172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</row>
    <row r="887" spans="1:27" ht="12.75" customHeight="1">
      <c r="A887" s="172"/>
      <c r="B887" s="172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</row>
    <row r="888" spans="1:27" ht="12.75" customHeight="1">
      <c r="A888" s="172"/>
      <c r="B888" s="172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</row>
    <row r="889" spans="1:27" ht="12.75" customHeight="1">
      <c r="A889" s="172"/>
      <c r="B889" s="172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</row>
    <row r="890" spans="1:27" ht="12.75" customHeight="1">
      <c r="A890" s="172"/>
      <c r="B890" s="172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</row>
    <row r="891" spans="1:27" ht="12.75" customHeight="1">
      <c r="A891" s="172"/>
      <c r="B891" s="172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</row>
    <row r="892" spans="1:27" ht="12.75" customHeight="1">
      <c r="A892" s="172"/>
      <c r="B892" s="172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</row>
    <row r="893" spans="1:27" ht="12.75" customHeight="1">
      <c r="A893" s="172"/>
      <c r="B893" s="172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</row>
    <row r="894" spans="1:27" ht="12.75" customHeight="1">
      <c r="A894" s="172"/>
      <c r="B894" s="172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</row>
    <row r="895" spans="1:27" ht="12.75" customHeight="1">
      <c r="A895" s="172"/>
      <c r="B895" s="172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</row>
    <row r="896" spans="1:27" ht="12.75" customHeight="1">
      <c r="A896" s="172"/>
      <c r="B896" s="172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</row>
    <row r="897" spans="1:27" ht="12.75" customHeight="1">
      <c r="A897" s="172"/>
      <c r="B897" s="172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</row>
    <row r="898" spans="1:27" ht="12.75" customHeight="1">
      <c r="A898" s="172"/>
      <c r="B898" s="172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</row>
    <row r="899" spans="1:27" ht="12.75" customHeight="1">
      <c r="A899" s="172"/>
      <c r="B899" s="172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</row>
    <row r="900" spans="1:27" ht="12.75" customHeight="1">
      <c r="A900" s="172"/>
      <c r="B900" s="172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</row>
    <row r="901" spans="1:27" ht="12.75" customHeight="1">
      <c r="A901" s="172"/>
      <c r="B901" s="172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</row>
    <row r="902" spans="1:27" ht="12.75" customHeight="1">
      <c r="A902" s="172"/>
      <c r="B902" s="172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</row>
    <row r="903" spans="1:27" ht="12.75" customHeight="1">
      <c r="A903" s="172"/>
      <c r="B903" s="172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</row>
    <row r="904" spans="1:27" ht="12.75" customHeight="1">
      <c r="A904" s="172"/>
      <c r="B904" s="172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</row>
    <row r="905" spans="1:27" ht="12.75" customHeight="1">
      <c r="A905" s="172"/>
      <c r="B905" s="172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</row>
    <row r="906" spans="1:27" ht="12.75" customHeight="1">
      <c r="A906" s="172"/>
      <c r="B906" s="172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</row>
    <row r="907" spans="1:27" ht="12.75" customHeight="1">
      <c r="A907" s="172"/>
      <c r="B907" s="172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</row>
    <row r="908" spans="1:27" ht="12.75" customHeight="1">
      <c r="A908" s="172"/>
      <c r="B908" s="172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</row>
    <row r="909" spans="1:27" ht="12.75" customHeight="1">
      <c r="A909" s="172"/>
      <c r="B909" s="172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</row>
    <row r="910" spans="1:27" ht="12.75" customHeight="1">
      <c r="A910" s="172"/>
      <c r="B910" s="172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</row>
    <row r="911" spans="1:27" ht="12.75" customHeight="1">
      <c r="A911" s="172"/>
      <c r="B911" s="172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</row>
    <row r="912" spans="1:27" ht="12.75" customHeight="1">
      <c r="A912" s="172"/>
      <c r="B912" s="172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</row>
    <row r="913" spans="1:27" ht="12.75" customHeight="1">
      <c r="A913" s="172"/>
      <c r="B913" s="172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</row>
    <row r="914" spans="1:27" ht="12.75" customHeight="1">
      <c r="A914" s="172"/>
      <c r="B914" s="172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</row>
    <row r="915" spans="1:27" ht="12.75" customHeight="1">
      <c r="A915" s="172"/>
      <c r="B915" s="172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</row>
    <row r="916" spans="1:27" ht="12.75" customHeight="1">
      <c r="A916" s="172"/>
      <c r="B916" s="172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</row>
    <row r="917" spans="1:27" ht="12.75" customHeight="1">
      <c r="A917" s="172"/>
      <c r="B917" s="172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</row>
    <row r="918" spans="1:27" ht="12.75" customHeight="1">
      <c r="A918" s="172"/>
      <c r="B918" s="172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</row>
    <row r="919" spans="1:27" ht="12.75" customHeight="1">
      <c r="A919" s="172"/>
      <c r="B919" s="172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</row>
    <row r="920" spans="1:27" ht="12.75" customHeight="1">
      <c r="A920" s="172"/>
      <c r="B920" s="172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</row>
    <row r="921" spans="1:27" ht="12.75" customHeight="1">
      <c r="A921" s="172"/>
      <c r="B921" s="172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</row>
    <row r="922" spans="1:27" ht="12.75" customHeight="1">
      <c r="A922" s="172"/>
      <c r="B922" s="172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</row>
    <row r="923" spans="1:27" ht="12.75" customHeight="1">
      <c r="A923" s="172"/>
      <c r="B923" s="172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</row>
    <row r="924" spans="1:27" ht="12.75" customHeight="1">
      <c r="A924" s="172"/>
      <c r="B924" s="172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</row>
    <row r="925" spans="1:27" ht="12.75" customHeight="1">
      <c r="A925" s="172"/>
      <c r="B925" s="172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</row>
    <row r="926" spans="1:27" ht="12.75" customHeight="1">
      <c r="A926" s="172"/>
      <c r="B926" s="172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</row>
    <row r="927" spans="1:27" ht="12.75" customHeight="1">
      <c r="A927" s="172"/>
      <c r="B927" s="172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</row>
    <row r="928" spans="1:27" ht="12.75" customHeight="1">
      <c r="A928" s="172"/>
      <c r="B928" s="172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</row>
    <row r="929" spans="1:27" ht="12.75" customHeight="1">
      <c r="A929" s="172"/>
      <c r="B929" s="172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</row>
    <row r="930" spans="1:27" ht="12.75" customHeight="1">
      <c r="A930" s="172"/>
      <c r="B930" s="172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</row>
    <row r="931" spans="1:27" ht="12.75" customHeight="1">
      <c r="A931" s="172"/>
      <c r="B931" s="172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</row>
    <row r="932" spans="1:27" ht="12.75" customHeight="1">
      <c r="A932" s="172"/>
      <c r="B932" s="172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</row>
    <row r="933" spans="1:27" ht="12.75" customHeight="1">
      <c r="A933" s="172"/>
      <c r="B933" s="172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</row>
    <row r="934" spans="1:27" ht="12.75" customHeight="1">
      <c r="A934" s="172"/>
      <c r="B934" s="172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</row>
    <row r="935" spans="1:27" ht="12.75" customHeight="1">
      <c r="A935" s="172"/>
      <c r="B935" s="172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</row>
    <row r="936" spans="1:27" ht="12.75" customHeight="1">
      <c r="A936" s="172"/>
      <c r="B936" s="172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</row>
    <row r="937" spans="1:27" ht="12.75" customHeight="1">
      <c r="A937" s="172"/>
      <c r="B937" s="172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</row>
    <row r="938" spans="1:27" ht="12.75" customHeight="1">
      <c r="A938" s="172"/>
      <c r="B938" s="172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</row>
    <row r="939" spans="1:27" ht="12.75" customHeight="1">
      <c r="A939" s="172"/>
      <c r="B939" s="172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</row>
    <row r="940" spans="1:27" ht="12.75" customHeight="1">
      <c r="A940" s="172"/>
      <c r="B940" s="172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</row>
    <row r="941" spans="1:27" ht="12.75" customHeight="1">
      <c r="A941" s="172"/>
      <c r="B941" s="172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</row>
    <row r="942" spans="1:27" ht="12.75" customHeight="1">
      <c r="A942" s="172"/>
      <c r="B942" s="172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</row>
    <row r="943" spans="1:27" ht="12.75" customHeight="1">
      <c r="A943" s="172"/>
      <c r="B943" s="172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</row>
    <row r="944" spans="1:27" ht="12.75" customHeight="1">
      <c r="A944" s="172"/>
      <c r="B944" s="172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</row>
    <row r="945" spans="1:27" ht="12.75" customHeight="1">
      <c r="A945" s="172"/>
      <c r="B945" s="172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</row>
    <row r="946" spans="1:27" ht="12.75" customHeight="1">
      <c r="A946" s="172"/>
      <c r="B946" s="172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</row>
    <row r="947" spans="1:27" ht="12.75" customHeight="1">
      <c r="A947" s="172"/>
      <c r="B947" s="172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</row>
    <row r="948" spans="1:27" ht="12.75" customHeight="1">
      <c r="A948" s="172"/>
      <c r="B948" s="172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</row>
    <row r="949" spans="1:27" ht="12.75" customHeight="1">
      <c r="A949" s="172"/>
      <c r="B949" s="172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</row>
    <row r="950" spans="1:27" ht="12.75" customHeight="1">
      <c r="A950" s="172"/>
      <c r="B950" s="172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</row>
    <row r="951" spans="1:27" ht="12.75" customHeight="1">
      <c r="A951" s="172"/>
      <c r="B951" s="172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</row>
    <row r="952" spans="1:27" ht="12.75" customHeight="1">
      <c r="A952" s="172"/>
      <c r="B952" s="172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</row>
    <row r="953" spans="1:27" ht="12.75" customHeight="1">
      <c r="A953" s="172"/>
      <c r="B953" s="172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</row>
    <row r="954" spans="1:27" ht="12.75" customHeight="1">
      <c r="A954" s="172"/>
      <c r="B954" s="172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</row>
    <row r="955" spans="1:27" ht="12.75" customHeight="1">
      <c r="A955" s="172"/>
      <c r="B955" s="172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</row>
    <row r="956" spans="1:27" ht="12.75" customHeight="1">
      <c r="A956" s="172"/>
      <c r="B956" s="172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</row>
    <row r="957" spans="1:27" ht="12.75" customHeight="1">
      <c r="A957" s="172"/>
      <c r="B957" s="172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</row>
    <row r="958" spans="1:27" ht="12.75" customHeight="1">
      <c r="A958" s="172"/>
      <c r="B958" s="172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</row>
    <row r="959" spans="1:27" ht="12.75" customHeight="1">
      <c r="A959" s="172"/>
      <c r="B959" s="172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</row>
    <row r="960" spans="1:27" ht="12.75" customHeight="1">
      <c r="A960" s="172"/>
      <c r="B960" s="172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</row>
    <row r="961" spans="1:27" ht="12.75" customHeight="1">
      <c r="A961" s="172"/>
      <c r="B961" s="172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</row>
    <row r="962" spans="1:27" ht="12.75" customHeight="1">
      <c r="A962" s="172"/>
      <c r="B962" s="172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</row>
    <row r="963" spans="1:27" ht="12.75" customHeight="1">
      <c r="A963" s="172"/>
      <c r="B963" s="172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  <c r="AA963" s="173"/>
    </row>
    <row r="964" spans="1:27" ht="12.75" customHeight="1">
      <c r="A964" s="172"/>
      <c r="B964" s="172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  <c r="AA964" s="173"/>
    </row>
    <row r="965" spans="1:27" ht="12.75" customHeight="1">
      <c r="A965" s="172"/>
      <c r="B965" s="172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  <c r="AA965" s="173"/>
    </row>
    <row r="966" spans="1:27" ht="12.75" customHeight="1">
      <c r="A966" s="172"/>
      <c r="B966" s="172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  <c r="AA966" s="173"/>
    </row>
    <row r="967" spans="1:27" ht="12.75" customHeight="1">
      <c r="A967" s="172"/>
      <c r="B967" s="172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  <c r="AA967" s="173"/>
    </row>
    <row r="968" spans="1:27" ht="12.75" customHeight="1">
      <c r="A968" s="172"/>
      <c r="B968" s="172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  <c r="AA968" s="173"/>
    </row>
    <row r="969" spans="1:27" ht="12.75" customHeight="1">
      <c r="A969" s="172"/>
      <c r="B969" s="172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  <c r="AA969" s="173"/>
    </row>
    <row r="970" spans="1:27" ht="12.75" customHeight="1">
      <c r="A970" s="172"/>
      <c r="B970" s="172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  <c r="AA970" s="173"/>
    </row>
    <row r="971" spans="1:27" ht="12.75" customHeight="1">
      <c r="A971" s="172"/>
      <c r="B971" s="172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  <c r="AA971" s="173"/>
    </row>
    <row r="972" spans="1:27" ht="12.75" customHeight="1">
      <c r="A972" s="172"/>
      <c r="B972" s="172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  <c r="AA972" s="173"/>
    </row>
    <row r="973" spans="1:27" ht="12.75" customHeight="1">
      <c r="A973" s="172"/>
      <c r="B973" s="172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  <c r="AA973" s="173"/>
    </row>
    <row r="974" spans="1:27" ht="12.75" customHeight="1">
      <c r="A974" s="172"/>
      <c r="B974" s="172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  <c r="AA974" s="173"/>
    </row>
    <row r="975" spans="1:27" ht="12.75" customHeight="1">
      <c r="A975" s="172"/>
      <c r="B975" s="172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  <c r="AA975" s="173"/>
    </row>
    <row r="976" spans="1:27" ht="12.75" customHeight="1">
      <c r="A976" s="172"/>
      <c r="B976" s="172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  <c r="AA976" s="173"/>
    </row>
    <row r="977" spans="1:27" ht="12.75" customHeight="1">
      <c r="A977" s="172"/>
      <c r="B977" s="172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  <c r="AA977" s="173"/>
    </row>
    <row r="978" spans="1:27" ht="12.75" customHeight="1">
      <c r="A978" s="172"/>
      <c r="B978" s="172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  <c r="AA978" s="173"/>
    </row>
    <row r="979" spans="1:27" ht="12.75" customHeight="1">
      <c r="A979" s="172"/>
      <c r="B979" s="172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  <c r="AA979" s="173"/>
    </row>
    <row r="980" spans="1:27" ht="12.75" customHeight="1">
      <c r="A980" s="172"/>
      <c r="B980" s="172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  <c r="AA980" s="173"/>
    </row>
    <row r="981" spans="1:27" ht="12.75" customHeight="1">
      <c r="A981" s="172"/>
      <c r="B981" s="172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  <c r="AA981" s="173"/>
    </row>
    <row r="982" spans="1:27" ht="12.75" customHeight="1">
      <c r="A982" s="172"/>
      <c r="B982" s="172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  <c r="AA982" s="173"/>
    </row>
    <row r="983" spans="1:27" ht="12.75" customHeight="1">
      <c r="A983" s="172"/>
      <c r="B983" s="172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  <c r="AA983" s="173"/>
    </row>
    <row r="984" spans="1:27" ht="12.75" customHeight="1">
      <c r="A984" s="172"/>
      <c r="B984" s="172"/>
      <c r="R984" s="173"/>
      <c r="S984" s="173"/>
      <c r="T984" s="173"/>
      <c r="U984" s="173"/>
      <c r="V984" s="173"/>
      <c r="W984" s="173"/>
      <c r="X984" s="173"/>
      <c r="Y984" s="173"/>
      <c r="Z984" s="173"/>
      <c r="AA984" s="173"/>
    </row>
    <row r="985" spans="1:27" ht="12.75" customHeight="1">
      <c r="A985" s="172"/>
      <c r="B985" s="172"/>
      <c r="R985" s="173"/>
      <c r="S985" s="173"/>
      <c r="T985" s="173"/>
      <c r="U985" s="173"/>
      <c r="V985" s="173"/>
      <c r="W985" s="173"/>
      <c r="X985" s="173"/>
      <c r="Y985" s="173"/>
      <c r="Z985" s="173"/>
      <c r="AA985" s="173"/>
    </row>
    <row r="986" spans="1:27" ht="12.75" customHeight="1">
      <c r="A986" s="172"/>
      <c r="B986" s="172"/>
      <c r="R986" s="173"/>
      <c r="S986" s="173"/>
      <c r="T986" s="173"/>
      <c r="U986" s="173"/>
      <c r="V986" s="173"/>
      <c r="W986" s="173"/>
      <c r="X986" s="173"/>
      <c r="Y986" s="173"/>
      <c r="Z986" s="173"/>
      <c r="AA986" s="173"/>
    </row>
    <row r="987" spans="1:27" ht="12.75" customHeight="1">
      <c r="A987" s="172"/>
      <c r="B987" s="172"/>
      <c r="R987" s="173"/>
      <c r="S987" s="173"/>
      <c r="T987" s="173"/>
      <c r="U987" s="173"/>
      <c r="V987" s="173"/>
      <c r="W987" s="173"/>
      <c r="X987" s="173"/>
      <c r="Y987" s="173"/>
      <c r="Z987" s="173"/>
      <c r="AA987" s="173"/>
    </row>
    <row r="988" spans="1:27" ht="12.75" customHeight="1">
      <c r="A988" s="172"/>
      <c r="B988" s="172"/>
      <c r="R988" s="173"/>
      <c r="S988" s="173"/>
      <c r="T988" s="173"/>
      <c r="U988" s="173"/>
      <c r="V988" s="173"/>
      <c r="W988" s="173"/>
      <c r="X988" s="173"/>
      <c r="Y988" s="173"/>
      <c r="Z988" s="173"/>
      <c r="AA988" s="173"/>
    </row>
  </sheetData>
  <mergeCells count="10">
    <mergeCell ref="P41:T44"/>
    <mergeCell ref="P47:T50"/>
    <mergeCell ref="P53:T56"/>
    <mergeCell ref="F7:H7"/>
    <mergeCell ref="I7:M7"/>
    <mergeCell ref="P7:T7"/>
    <mergeCell ref="P8:S8"/>
    <mergeCell ref="P11:T14"/>
    <mergeCell ref="P18:T23"/>
    <mergeCell ref="P35:T38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BE9FF"/>
  </sheetPr>
  <dimension ref="A1:Z1000"/>
  <sheetViews>
    <sheetView showGridLines="0" workbookViewId="0"/>
  </sheetViews>
  <sheetFormatPr defaultColWidth="14.44140625" defaultRowHeight="15" customHeight="1"/>
  <cols>
    <col min="1" max="1" width="2.77734375" customWidth="1"/>
    <col min="2" max="26" width="15.777343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3" t="s">
        <v>58</v>
      </c>
      <c r="C2" s="1"/>
      <c r="D2" s="1"/>
      <c r="E2" s="1"/>
      <c r="F2" s="1"/>
      <c r="G2" s="4" t="s">
        <v>59</v>
      </c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5"/>
      <c r="B3" s="5" t="s">
        <v>60</v>
      </c>
      <c r="C3" s="5"/>
      <c r="D3" s="5"/>
      <c r="E3" s="5"/>
      <c r="F3" s="5"/>
      <c r="G3" s="6">
        <f>Cover!$G$21</f>
        <v>3</v>
      </c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1" t="s">
        <v>61</v>
      </c>
      <c r="C5" s="22"/>
      <c r="D5" s="22"/>
      <c r="E5" s="22"/>
      <c r="F5" s="23">
        <v>2021</v>
      </c>
      <c r="G5" s="23">
        <f t="shared" ref="G5:M5" si="0">F5+1</f>
        <v>2022</v>
      </c>
      <c r="H5" s="24">
        <f t="shared" si="0"/>
        <v>2023</v>
      </c>
      <c r="I5" s="25">
        <f t="shared" si="0"/>
        <v>2024</v>
      </c>
      <c r="J5" s="25">
        <f t="shared" si="0"/>
        <v>2025</v>
      </c>
      <c r="K5" s="25">
        <f t="shared" si="0"/>
        <v>2026</v>
      </c>
      <c r="L5" s="25">
        <f t="shared" si="0"/>
        <v>2027</v>
      </c>
      <c r="M5" s="26">
        <f t="shared" si="0"/>
        <v>2028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 t="s">
        <v>62</v>
      </c>
      <c r="B7" s="27" t="s">
        <v>63</v>
      </c>
      <c r="C7" s="27"/>
      <c r="D7" s="27"/>
      <c r="E7" s="27"/>
      <c r="F7" s="27"/>
      <c r="G7" s="27"/>
      <c r="H7" s="8"/>
      <c r="I7" s="27"/>
      <c r="J7" s="27"/>
      <c r="K7" s="27"/>
      <c r="L7" s="27"/>
      <c r="M7" s="2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9" t="s">
        <v>64</v>
      </c>
      <c r="C9" s="9"/>
      <c r="D9" s="9"/>
      <c r="E9" s="9"/>
      <c r="F9" s="10"/>
      <c r="G9" s="10"/>
      <c r="H9" s="11"/>
      <c r="I9" s="10"/>
      <c r="J9" s="10"/>
      <c r="K9" s="10"/>
      <c r="L9" s="10"/>
      <c r="M9" s="10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5" t="s">
        <v>65</v>
      </c>
      <c r="C10" s="5"/>
      <c r="D10" s="5"/>
      <c r="E10" s="5"/>
      <c r="F10" s="12"/>
      <c r="G10" s="12"/>
      <c r="H10" s="13"/>
      <c r="I10" s="1" t="s">
        <v>66</v>
      </c>
      <c r="J10" s="12"/>
      <c r="K10" s="12"/>
      <c r="L10" s="12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 t="s">
        <v>8</v>
      </c>
      <c r="C11" s="1"/>
      <c r="D11" s="1"/>
      <c r="E11" s="1"/>
      <c r="F11" s="14"/>
      <c r="G11" s="14"/>
      <c r="H11" s="15"/>
      <c r="I11" s="16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 t="s">
        <v>67</v>
      </c>
      <c r="C12" s="1"/>
      <c r="D12" s="1"/>
      <c r="E12" s="1"/>
      <c r="F12" s="14"/>
      <c r="G12" s="14"/>
      <c r="H12" s="15"/>
      <c r="I12" s="16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 t="s">
        <v>11</v>
      </c>
      <c r="C13" s="1"/>
      <c r="D13" s="1"/>
      <c r="E13" s="1"/>
      <c r="F13" s="14"/>
      <c r="G13" s="14"/>
      <c r="H13" s="15"/>
      <c r="I13" s="16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9" t="s">
        <v>68</v>
      </c>
      <c r="C15" s="9"/>
      <c r="D15" s="9"/>
      <c r="E15" s="9"/>
      <c r="F15" s="10"/>
      <c r="G15" s="10"/>
      <c r="H15" s="11"/>
      <c r="I15" s="10"/>
      <c r="J15" s="10"/>
      <c r="K15" s="10"/>
      <c r="L15" s="10"/>
      <c r="M15" s="10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5" t="s">
        <v>30</v>
      </c>
      <c r="C16" s="5"/>
      <c r="D16" s="5"/>
      <c r="E16" s="5"/>
      <c r="F16" s="12"/>
      <c r="G16" s="12"/>
      <c r="H16" s="13"/>
      <c r="I16" s="1" t="s">
        <v>66</v>
      </c>
      <c r="J16" s="12"/>
      <c r="K16" s="12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 t="s">
        <v>8</v>
      </c>
      <c r="C17" s="1"/>
      <c r="D17" s="1"/>
      <c r="E17" s="1"/>
      <c r="F17" s="14"/>
      <c r="G17" s="14"/>
      <c r="H17" s="15"/>
      <c r="I17" s="16"/>
      <c r="J17" s="16"/>
      <c r="K17" s="16"/>
      <c r="L17" s="16"/>
      <c r="M17" s="1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 t="s">
        <v>67</v>
      </c>
      <c r="C18" s="1"/>
      <c r="D18" s="1"/>
      <c r="E18" s="1"/>
      <c r="F18" s="14"/>
      <c r="G18" s="14"/>
      <c r="H18" s="15"/>
      <c r="I18" s="16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 t="s">
        <v>11</v>
      </c>
      <c r="C19" s="1"/>
      <c r="D19" s="1"/>
      <c r="E19" s="1"/>
      <c r="F19" s="14"/>
      <c r="G19" s="14"/>
      <c r="H19" s="15"/>
      <c r="I19" s="16"/>
      <c r="J19" s="16"/>
      <c r="K19" s="16"/>
      <c r="L19" s="16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 t="s">
        <v>62</v>
      </c>
      <c r="B34" s="27" t="s">
        <v>69</v>
      </c>
      <c r="C34" s="27"/>
      <c r="D34" s="27"/>
      <c r="E34" s="27"/>
      <c r="F34" s="27"/>
      <c r="G34" s="27"/>
      <c r="H34" s="8"/>
      <c r="I34" s="27"/>
      <c r="J34" s="27"/>
      <c r="K34" s="27"/>
      <c r="L34" s="27"/>
      <c r="M34" s="2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9"/>
      <c r="B36" s="9" t="s">
        <v>34</v>
      </c>
      <c r="C36" s="9"/>
      <c r="D36" s="9"/>
      <c r="E36" s="9"/>
      <c r="F36" s="10"/>
      <c r="G36" s="10"/>
      <c r="H36" s="11"/>
      <c r="I36" s="10"/>
      <c r="J36" s="10"/>
      <c r="K36" s="10"/>
      <c r="L36" s="10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5"/>
      <c r="B37" s="5" t="s">
        <v>65</v>
      </c>
      <c r="C37" s="5"/>
      <c r="D37" s="5"/>
      <c r="E37" s="5"/>
      <c r="F37" s="12"/>
      <c r="G37" s="12"/>
      <c r="H37" s="13"/>
      <c r="I37" s="1" t="s">
        <v>66</v>
      </c>
      <c r="J37" s="12"/>
      <c r="K37" s="12"/>
      <c r="L37" s="12"/>
      <c r="M37" s="12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1"/>
      <c r="B38" s="1" t="s">
        <v>8</v>
      </c>
      <c r="C38" s="1"/>
      <c r="D38" s="1"/>
      <c r="E38" s="1"/>
      <c r="F38" s="14"/>
      <c r="G38" s="14"/>
      <c r="H38" s="15"/>
      <c r="I38" s="16"/>
      <c r="J38" s="16"/>
      <c r="K38" s="16"/>
      <c r="L38" s="16"/>
      <c r="M38" s="1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 t="s">
        <v>67</v>
      </c>
      <c r="C39" s="1"/>
      <c r="D39" s="1"/>
      <c r="E39" s="1"/>
      <c r="F39" s="14"/>
      <c r="G39" s="14"/>
      <c r="H39" s="15"/>
      <c r="I39" s="16"/>
      <c r="J39" s="16"/>
      <c r="K39" s="16"/>
      <c r="L39" s="16"/>
      <c r="M39" s="16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 t="s">
        <v>11</v>
      </c>
      <c r="C40" s="1"/>
      <c r="D40" s="1"/>
      <c r="E40" s="1"/>
      <c r="F40" s="14"/>
      <c r="G40" s="14"/>
      <c r="H40" s="15"/>
      <c r="I40" s="16"/>
      <c r="J40" s="16"/>
      <c r="K40" s="16"/>
      <c r="L40" s="16"/>
      <c r="M40" s="1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9" t="s">
        <v>36</v>
      </c>
      <c r="C42" s="9"/>
      <c r="D42" s="9"/>
      <c r="E42" s="9"/>
      <c r="F42" s="10"/>
      <c r="G42" s="10"/>
      <c r="H42" s="11"/>
      <c r="I42" s="10"/>
      <c r="J42" s="10"/>
      <c r="K42" s="10"/>
      <c r="L42" s="10"/>
      <c r="M42" s="1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5" t="s">
        <v>65</v>
      </c>
      <c r="C43" s="5"/>
      <c r="D43" s="5"/>
      <c r="E43" s="5"/>
      <c r="F43" s="12"/>
      <c r="G43" s="12"/>
      <c r="H43" s="13"/>
      <c r="I43" s="12"/>
      <c r="J43" s="12"/>
      <c r="K43" s="12"/>
      <c r="L43" s="12"/>
      <c r="M43" s="1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 t="s">
        <v>8</v>
      </c>
      <c r="C44" s="1"/>
      <c r="D44" s="1"/>
      <c r="E44" s="1"/>
      <c r="F44" s="14"/>
      <c r="G44" s="14"/>
      <c r="H44" s="15"/>
      <c r="I44" s="16"/>
      <c r="J44" s="16"/>
      <c r="K44" s="16"/>
      <c r="L44" s="16"/>
      <c r="M44" s="1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 t="s">
        <v>67</v>
      </c>
      <c r="C45" s="1"/>
      <c r="D45" s="1"/>
      <c r="E45" s="1"/>
      <c r="F45" s="14"/>
      <c r="G45" s="14"/>
      <c r="H45" s="15"/>
      <c r="I45" s="16"/>
      <c r="J45" s="16"/>
      <c r="K45" s="16"/>
      <c r="L45" s="16"/>
      <c r="M45" s="1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 t="s">
        <v>11</v>
      </c>
      <c r="C46" s="1"/>
      <c r="D46" s="1"/>
      <c r="E46" s="1"/>
      <c r="F46" s="14"/>
      <c r="G46" s="14"/>
      <c r="H46" s="15"/>
      <c r="I46" s="16"/>
      <c r="J46" s="16"/>
      <c r="K46" s="16"/>
      <c r="L46" s="16"/>
      <c r="M46" s="1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9" t="s">
        <v>70</v>
      </c>
      <c r="C48" s="9"/>
      <c r="D48" s="9"/>
      <c r="E48" s="9"/>
      <c r="F48" s="10"/>
      <c r="G48" s="10"/>
      <c r="H48" s="11"/>
      <c r="I48" s="10"/>
      <c r="J48" s="10"/>
      <c r="K48" s="10"/>
      <c r="L48" s="10"/>
      <c r="M48" s="1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5" t="s">
        <v>71</v>
      </c>
      <c r="C49" s="5"/>
      <c r="D49" s="5"/>
      <c r="E49" s="5"/>
      <c r="F49" s="12"/>
      <c r="G49" s="12"/>
      <c r="H49" s="13"/>
      <c r="I49" s="12"/>
      <c r="J49" s="12"/>
      <c r="K49" s="12"/>
      <c r="L49" s="12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 t="s">
        <v>8</v>
      </c>
      <c r="C50" s="1"/>
      <c r="D50" s="1"/>
      <c r="E50" s="1"/>
      <c r="F50" s="14"/>
      <c r="G50" s="14"/>
      <c r="H50" s="15"/>
      <c r="I50" s="16"/>
      <c r="J50" s="16"/>
      <c r="K50" s="16"/>
      <c r="L50" s="16"/>
      <c r="M50" s="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 t="s">
        <v>67</v>
      </c>
      <c r="C51" s="1"/>
      <c r="D51" s="1"/>
      <c r="E51" s="1"/>
      <c r="F51" s="14"/>
      <c r="G51" s="14"/>
      <c r="H51" s="15"/>
      <c r="I51" s="16"/>
      <c r="J51" s="16"/>
      <c r="K51" s="16"/>
      <c r="L51" s="16"/>
      <c r="M51" s="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 t="s">
        <v>11</v>
      </c>
      <c r="C52" s="1"/>
      <c r="D52" s="1"/>
      <c r="E52" s="1"/>
      <c r="F52" s="14"/>
      <c r="G52" s="14"/>
      <c r="H52" s="15"/>
      <c r="I52" s="16"/>
      <c r="J52" s="16"/>
      <c r="K52" s="16"/>
      <c r="L52" s="16"/>
      <c r="M52" s="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9" t="s">
        <v>38</v>
      </c>
      <c r="C54" s="9"/>
      <c r="D54" s="9"/>
      <c r="E54" s="9"/>
      <c r="F54" s="10"/>
      <c r="G54" s="10"/>
      <c r="H54" s="11"/>
      <c r="I54" s="10"/>
      <c r="J54" s="10"/>
      <c r="K54" s="10"/>
      <c r="L54" s="10"/>
      <c r="M54" s="1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5" t="s">
        <v>65</v>
      </c>
      <c r="C55" s="5"/>
      <c r="D55" s="5"/>
      <c r="E55" s="5"/>
      <c r="F55" s="12"/>
      <c r="G55" s="12"/>
      <c r="H55" s="13"/>
      <c r="I55" s="12"/>
      <c r="J55" s="12"/>
      <c r="K55" s="12"/>
      <c r="L55" s="12"/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 t="s">
        <v>8</v>
      </c>
      <c r="C56" s="1"/>
      <c r="D56" s="1"/>
      <c r="E56" s="1"/>
      <c r="F56" s="14"/>
      <c r="G56" s="14"/>
      <c r="H56" s="15"/>
      <c r="I56" s="16"/>
      <c r="J56" s="16"/>
      <c r="K56" s="16"/>
      <c r="L56" s="16"/>
      <c r="M56" s="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 t="s">
        <v>67</v>
      </c>
      <c r="C57" s="1"/>
      <c r="D57" s="1"/>
      <c r="E57" s="1"/>
      <c r="F57" s="14"/>
      <c r="G57" s="14"/>
      <c r="H57" s="15"/>
      <c r="I57" s="16"/>
      <c r="J57" s="16"/>
      <c r="K57" s="16"/>
      <c r="L57" s="16"/>
      <c r="M57" s="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 t="s">
        <v>11</v>
      </c>
      <c r="C58" s="1"/>
      <c r="D58" s="1"/>
      <c r="E58" s="1"/>
      <c r="F58" s="14"/>
      <c r="G58" s="14"/>
      <c r="H58" s="15"/>
      <c r="I58" s="16"/>
      <c r="J58" s="16"/>
      <c r="K58" s="16"/>
      <c r="L58" s="16"/>
      <c r="M58" s="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9" t="s">
        <v>72</v>
      </c>
      <c r="C60" s="9"/>
      <c r="D60" s="9"/>
      <c r="E60" s="9"/>
      <c r="F60" s="10"/>
      <c r="G60" s="10"/>
      <c r="H60" s="11"/>
      <c r="I60" s="10"/>
      <c r="J60" s="10"/>
      <c r="K60" s="10"/>
      <c r="L60" s="10"/>
      <c r="M60" s="1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5" t="s">
        <v>65</v>
      </c>
      <c r="C61" s="5"/>
      <c r="D61" s="5"/>
      <c r="E61" s="5"/>
      <c r="F61" s="12"/>
      <c r="G61" s="12"/>
      <c r="H61" s="13"/>
      <c r="I61" s="12"/>
      <c r="J61" s="12"/>
      <c r="K61" s="12"/>
      <c r="L61" s="12"/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 t="s">
        <v>8</v>
      </c>
      <c r="C62" s="1"/>
      <c r="D62" s="1"/>
      <c r="E62" s="1"/>
      <c r="F62" s="14"/>
      <c r="G62" s="14"/>
      <c r="H62" s="15"/>
      <c r="I62" s="16"/>
      <c r="J62" s="16"/>
      <c r="K62" s="16"/>
      <c r="L62" s="16"/>
      <c r="M62" s="16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 t="s">
        <v>67</v>
      </c>
      <c r="C63" s="1"/>
      <c r="D63" s="1"/>
      <c r="E63" s="1"/>
      <c r="F63" s="14"/>
      <c r="G63" s="14"/>
      <c r="H63" s="15"/>
      <c r="I63" s="16"/>
      <c r="J63" s="16"/>
      <c r="K63" s="16"/>
      <c r="L63" s="16"/>
      <c r="M63" s="16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 t="s">
        <v>11</v>
      </c>
      <c r="C64" s="1"/>
      <c r="D64" s="1"/>
      <c r="E64" s="1"/>
      <c r="F64" s="14"/>
      <c r="G64" s="14"/>
      <c r="H64" s="15"/>
      <c r="I64" s="16"/>
      <c r="J64" s="16"/>
      <c r="K64" s="16"/>
      <c r="L64" s="16"/>
      <c r="M64" s="16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9" t="s">
        <v>40</v>
      </c>
      <c r="C66" s="9"/>
      <c r="D66" s="9"/>
      <c r="E66" s="9"/>
      <c r="F66" s="10"/>
      <c r="G66" s="10"/>
      <c r="H66" s="11"/>
      <c r="I66" s="10"/>
      <c r="J66" s="10"/>
      <c r="K66" s="10"/>
      <c r="L66" s="10"/>
      <c r="M66" s="1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5" t="s">
        <v>65</v>
      </c>
      <c r="C67" s="5"/>
      <c r="D67" s="5"/>
      <c r="E67" s="5"/>
      <c r="F67" s="12"/>
      <c r="G67" s="12"/>
      <c r="H67" s="13"/>
      <c r="I67" s="12"/>
      <c r="J67" s="12"/>
      <c r="K67" s="12"/>
      <c r="L67" s="12"/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 t="s">
        <v>8</v>
      </c>
      <c r="C68" s="1"/>
      <c r="D68" s="1"/>
      <c r="E68" s="1"/>
      <c r="F68" s="14"/>
      <c r="G68" s="14"/>
      <c r="H68" s="15"/>
      <c r="I68" s="16"/>
      <c r="J68" s="16"/>
      <c r="K68" s="16"/>
      <c r="L68" s="16"/>
      <c r="M68" s="16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 t="s">
        <v>67</v>
      </c>
      <c r="C69" s="1"/>
      <c r="D69" s="1"/>
      <c r="E69" s="1"/>
      <c r="F69" s="14"/>
      <c r="G69" s="14"/>
      <c r="H69" s="15"/>
      <c r="I69" s="16"/>
      <c r="J69" s="16"/>
      <c r="K69" s="16"/>
      <c r="L69" s="16"/>
      <c r="M69" s="16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 t="s">
        <v>11</v>
      </c>
      <c r="C70" s="1"/>
      <c r="D70" s="1"/>
      <c r="E70" s="1"/>
      <c r="F70" s="14"/>
      <c r="G70" s="14"/>
      <c r="H70" s="15"/>
      <c r="I70" s="16"/>
      <c r="J70" s="16"/>
      <c r="K70" s="16"/>
      <c r="L70" s="16"/>
      <c r="M70" s="16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9" t="s">
        <v>73</v>
      </c>
      <c r="C72" s="9"/>
      <c r="D72" s="9"/>
      <c r="E72" s="9"/>
      <c r="F72" s="10"/>
      <c r="G72" s="10"/>
      <c r="H72" s="11"/>
      <c r="I72" s="10"/>
      <c r="J72" s="10"/>
      <c r="K72" s="10"/>
      <c r="L72" s="10"/>
      <c r="M72" s="1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5" t="s">
        <v>74</v>
      </c>
      <c r="C73" s="5"/>
      <c r="D73" s="5"/>
      <c r="E73" s="5"/>
      <c r="F73" s="12"/>
      <c r="G73" s="12"/>
      <c r="H73" s="13"/>
      <c r="I73" s="12"/>
      <c r="J73" s="12"/>
      <c r="K73" s="12"/>
      <c r="L73" s="12"/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 t="s">
        <v>8</v>
      </c>
      <c r="C74" s="1"/>
      <c r="D74" s="1"/>
      <c r="E74" s="1"/>
      <c r="F74" s="14"/>
      <c r="G74" s="14"/>
      <c r="H74" s="15"/>
      <c r="I74" s="16"/>
      <c r="J74" s="16"/>
      <c r="K74" s="16"/>
      <c r="L74" s="16"/>
      <c r="M74" s="1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 t="s">
        <v>67</v>
      </c>
      <c r="C75" s="1"/>
      <c r="D75" s="1"/>
      <c r="E75" s="1"/>
      <c r="F75" s="14"/>
      <c r="G75" s="14"/>
      <c r="H75" s="15"/>
      <c r="I75" s="16"/>
      <c r="J75" s="16"/>
      <c r="K75" s="16"/>
      <c r="L75" s="16"/>
      <c r="M75" s="16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 t="s">
        <v>11</v>
      </c>
      <c r="C76" s="1"/>
      <c r="D76" s="1"/>
      <c r="E76" s="1"/>
      <c r="F76" s="14"/>
      <c r="G76" s="14"/>
      <c r="H76" s="15"/>
      <c r="I76" s="16"/>
      <c r="J76" s="16"/>
      <c r="K76" s="16"/>
      <c r="L76" s="16"/>
      <c r="M76" s="16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9" t="s">
        <v>75</v>
      </c>
      <c r="C78" s="9"/>
      <c r="D78" s="9"/>
      <c r="E78" s="9"/>
      <c r="F78" s="10"/>
      <c r="G78" s="10"/>
      <c r="H78" s="11"/>
      <c r="I78" s="10"/>
      <c r="J78" s="10"/>
      <c r="K78" s="10"/>
      <c r="L78" s="10"/>
      <c r="M78" s="1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5" t="s">
        <v>65</v>
      </c>
      <c r="C79" s="5"/>
      <c r="D79" s="5"/>
      <c r="E79" s="5"/>
      <c r="F79" s="12"/>
      <c r="G79" s="12"/>
      <c r="H79" s="13"/>
      <c r="I79" s="12"/>
      <c r="J79" s="12"/>
      <c r="K79" s="12"/>
      <c r="L79" s="12"/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 t="s">
        <v>8</v>
      </c>
      <c r="C80" s="1"/>
      <c r="D80" s="1"/>
      <c r="E80" s="1"/>
      <c r="F80" s="14"/>
      <c r="G80" s="14"/>
      <c r="H80" s="15"/>
      <c r="I80" s="16"/>
      <c r="J80" s="16"/>
      <c r="K80" s="16"/>
      <c r="L80" s="16"/>
      <c r="M80" s="16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 t="s">
        <v>67</v>
      </c>
      <c r="C81" s="1"/>
      <c r="D81" s="1"/>
      <c r="E81" s="1"/>
      <c r="F81" s="14"/>
      <c r="G81" s="14"/>
      <c r="H81" s="15"/>
      <c r="I81" s="16"/>
      <c r="J81" s="16"/>
      <c r="K81" s="16"/>
      <c r="L81" s="16"/>
      <c r="M81" s="1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 t="s">
        <v>11</v>
      </c>
      <c r="C82" s="1"/>
      <c r="D82" s="1"/>
      <c r="E82" s="1"/>
      <c r="F82" s="14"/>
      <c r="G82" s="14"/>
      <c r="H82" s="15"/>
      <c r="I82" s="16"/>
      <c r="J82" s="16"/>
      <c r="K82" s="16"/>
      <c r="L82" s="16"/>
      <c r="M82" s="1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9" t="s">
        <v>76</v>
      </c>
      <c r="C84" s="9"/>
      <c r="D84" s="9"/>
      <c r="E84" s="9"/>
      <c r="F84" s="10"/>
      <c r="G84" s="10"/>
      <c r="H84" s="11"/>
      <c r="I84" s="10"/>
      <c r="J84" s="10"/>
      <c r="K84" s="10"/>
      <c r="L84" s="10"/>
      <c r="M84" s="1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5" t="s">
        <v>65</v>
      </c>
      <c r="C85" s="5"/>
      <c r="D85" s="5"/>
      <c r="E85" s="5"/>
      <c r="F85" s="12"/>
      <c r="G85" s="12"/>
      <c r="H85" s="13"/>
      <c r="I85" s="12"/>
      <c r="J85" s="12"/>
      <c r="K85" s="12"/>
      <c r="L85" s="12"/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 t="s">
        <v>8</v>
      </c>
      <c r="C86" s="1"/>
      <c r="D86" s="1"/>
      <c r="E86" s="1"/>
      <c r="F86" s="14"/>
      <c r="G86" s="14"/>
      <c r="H86" s="15"/>
      <c r="I86" s="16"/>
      <c r="J86" s="16"/>
      <c r="K86" s="16"/>
      <c r="L86" s="16"/>
      <c r="M86" s="1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 t="s">
        <v>67</v>
      </c>
      <c r="C87" s="1"/>
      <c r="D87" s="1"/>
      <c r="E87" s="1"/>
      <c r="F87" s="14"/>
      <c r="G87" s="14"/>
      <c r="H87" s="15"/>
      <c r="I87" s="16"/>
      <c r="J87" s="16"/>
      <c r="K87" s="16"/>
      <c r="L87" s="16"/>
      <c r="M87" s="1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 t="s">
        <v>11</v>
      </c>
      <c r="C88" s="1"/>
      <c r="D88" s="1"/>
      <c r="E88" s="1"/>
      <c r="F88" s="14"/>
      <c r="G88" s="14"/>
      <c r="H88" s="15"/>
      <c r="I88" s="16"/>
      <c r="J88" s="16"/>
      <c r="K88" s="16"/>
      <c r="L88" s="16"/>
      <c r="M88" s="1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9" t="s">
        <v>77</v>
      </c>
      <c r="C90" s="9"/>
      <c r="D90" s="9"/>
      <c r="E90" s="9"/>
      <c r="F90" s="10"/>
      <c r="G90" s="10"/>
      <c r="H90" s="11"/>
      <c r="I90" s="10"/>
      <c r="J90" s="10"/>
      <c r="K90" s="10"/>
      <c r="L90" s="10"/>
      <c r="M90" s="1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5" t="s">
        <v>65</v>
      </c>
      <c r="C91" s="5"/>
      <c r="D91" s="5"/>
      <c r="E91" s="5"/>
      <c r="F91" s="12"/>
      <c r="G91" s="12"/>
      <c r="H91" s="13"/>
      <c r="I91" s="12"/>
      <c r="J91" s="12"/>
      <c r="K91" s="12"/>
      <c r="L91" s="12"/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 t="s">
        <v>8</v>
      </c>
      <c r="C92" s="1"/>
      <c r="D92" s="1"/>
      <c r="E92" s="1"/>
      <c r="F92" s="14"/>
      <c r="G92" s="14"/>
      <c r="H92" s="15"/>
      <c r="I92" s="16"/>
      <c r="J92" s="16"/>
      <c r="K92" s="16"/>
      <c r="L92" s="16"/>
      <c r="M92" s="1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 t="s">
        <v>67</v>
      </c>
      <c r="C93" s="1"/>
      <c r="D93" s="1"/>
      <c r="E93" s="1"/>
      <c r="F93" s="14"/>
      <c r="G93" s="14"/>
      <c r="H93" s="15"/>
      <c r="I93" s="16"/>
      <c r="J93" s="16"/>
      <c r="K93" s="16"/>
      <c r="L93" s="16"/>
      <c r="M93" s="1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 t="s">
        <v>11</v>
      </c>
      <c r="C94" s="1"/>
      <c r="D94" s="1"/>
      <c r="E94" s="1"/>
      <c r="F94" s="14"/>
      <c r="G94" s="14"/>
      <c r="H94" s="15"/>
      <c r="I94" s="16"/>
      <c r="J94" s="16"/>
      <c r="K94" s="16"/>
      <c r="L94" s="16"/>
      <c r="M94" s="1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9" t="s">
        <v>78</v>
      </c>
      <c r="C96" s="9"/>
      <c r="D96" s="9"/>
      <c r="E96" s="9"/>
      <c r="F96" s="10"/>
      <c r="G96" s="10"/>
      <c r="H96" s="11"/>
      <c r="I96" s="10"/>
      <c r="J96" s="10"/>
      <c r="K96" s="10"/>
      <c r="L96" s="10"/>
      <c r="M96" s="1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5" t="s">
        <v>65</v>
      </c>
      <c r="C97" s="5"/>
      <c r="D97" s="5"/>
      <c r="E97" s="5"/>
      <c r="F97" s="12"/>
      <c r="G97" s="12"/>
      <c r="H97" s="13"/>
      <c r="I97" s="12"/>
      <c r="J97" s="12"/>
      <c r="K97" s="12"/>
      <c r="L97" s="12"/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 t="s">
        <v>8</v>
      </c>
      <c r="C98" s="1"/>
      <c r="D98" s="1"/>
      <c r="E98" s="1"/>
      <c r="F98" s="14"/>
      <c r="G98" s="14"/>
      <c r="H98" s="15"/>
      <c r="I98" s="16"/>
      <c r="J98" s="16"/>
      <c r="K98" s="16"/>
      <c r="L98" s="16"/>
      <c r="M98" s="1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 t="s">
        <v>67</v>
      </c>
      <c r="C99" s="1"/>
      <c r="D99" s="1"/>
      <c r="E99" s="1"/>
      <c r="F99" s="14"/>
      <c r="G99" s="14"/>
      <c r="H99" s="15"/>
      <c r="I99" s="16"/>
      <c r="J99" s="16"/>
      <c r="K99" s="16"/>
      <c r="L99" s="16"/>
      <c r="M99" s="16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 t="s">
        <v>11</v>
      </c>
      <c r="C100" s="1"/>
      <c r="D100" s="1"/>
      <c r="E100" s="1"/>
      <c r="F100" s="14"/>
      <c r="G100" s="14"/>
      <c r="H100" s="15"/>
      <c r="I100" s="16"/>
      <c r="J100" s="16"/>
      <c r="K100" s="16"/>
      <c r="L100" s="16"/>
      <c r="M100" s="1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9" t="s">
        <v>79</v>
      </c>
      <c r="C102" s="9"/>
      <c r="D102" s="9"/>
      <c r="E102" s="9"/>
      <c r="F102" s="10"/>
      <c r="G102" s="10"/>
      <c r="H102" s="11"/>
      <c r="I102" s="10"/>
      <c r="J102" s="10"/>
      <c r="K102" s="10"/>
      <c r="L102" s="10"/>
      <c r="M102" s="1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5" t="s">
        <v>65</v>
      </c>
      <c r="C103" s="5"/>
      <c r="D103" s="5"/>
      <c r="E103" s="5"/>
      <c r="F103" s="12"/>
      <c r="G103" s="12"/>
      <c r="H103" s="13"/>
      <c r="I103" s="12"/>
      <c r="J103" s="12"/>
      <c r="K103" s="12"/>
      <c r="L103" s="12"/>
      <c r="M103" s="1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 t="s">
        <v>8</v>
      </c>
      <c r="C104" s="1"/>
      <c r="D104" s="1"/>
      <c r="E104" s="1"/>
      <c r="F104" s="14"/>
      <c r="G104" s="14"/>
      <c r="H104" s="15"/>
      <c r="I104" s="16"/>
      <c r="J104" s="16"/>
      <c r="K104" s="16"/>
      <c r="L104" s="16"/>
      <c r="M104" s="1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 t="s">
        <v>67</v>
      </c>
      <c r="C105" s="1"/>
      <c r="D105" s="1"/>
      <c r="E105" s="1"/>
      <c r="F105" s="14"/>
      <c r="G105" s="14"/>
      <c r="H105" s="15"/>
      <c r="I105" s="16"/>
      <c r="J105" s="16"/>
      <c r="K105" s="16"/>
      <c r="L105" s="16"/>
      <c r="M105" s="1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 t="s">
        <v>11</v>
      </c>
      <c r="C106" s="1"/>
      <c r="D106" s="1"/>
      <c r="E106" s="1"/>
      <c r="F106" s="14"/>
      <c r="G106" s="14"/>
      <c r="H106" s="15"/>
      <c r="I106" s="16"/>
      <c r="J106" s="16"/>
      <c r="K106" s="16"/>
      <c r="L106" s="16"/>
      <c r="M106" s="1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9" t="s">
        <v>80</v>
      </c>
      <c r="C108" s="9"/>
      <c r="D108" s="9"/>
      <c r="E108" s="9"/>
      <c r="F108" s="10"/>
      <c r="G108" s="10"/>
      <c r="H108" s="11"/>
      <c r="I108" s="10"/>
      <c r="J108" s="10"/>
      <c r="K108" s="10"/>
      <c r="L108" s="10"/>
      <c r="M108" s="1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5" t="s">
        <v>65</v>
      </c>
      <c r="C109" s="5"/>
      <c r="D109" s="5"/>
      <c r="E109" s="5"/>
      <c r="F109" s="12"/>
      <c r="G109" s="12"/>
      <c r="H109" s="13"/>
      <c r="I109" s="12"/>
      <c r="J109" s="12"/>
      <c r="K109" s="12"/>
      <c r="L109" s="12"/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 t="s">
        <v>8</v>
      </c>
      <c r="C110" s="1"/>
      <c r="D110" s="1"/>
      <c r="E110" s="1"/>
      <c r="F110" s="14"/>
      <c r="G110" s="14"/>
      <c r="H110" s="15"/>
      <c r="I110" s="16"/>
      <c r="J110" s="16"/>
      <c r="K110" s="16"/>
      <c r="L110" s="16"/>
      <c r="M110" s="16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 t="s">
        <v>67</v>
      </c>
      <c r="C111" s="1"/>
      <c r="D111" s="1"/>
      <c r="E111" s="1"/>
      <c r="F111" s="14"/>
      <c r="G111" s="14"/>
      <c r="H111" s="15"/>
      <c r="I111" s="16"/>
      <c r="J111" s="16"/>
      <c r="K111" s="16"/>
      <c r="L111" s="16"/>
      <c r="M111" s="16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 t="s">
        <v>11</v>
      </c>
      <c r="C112" s="1"/>
      <c r="D112" s="1"/>
      <c r="E112" s="1"/>
      <c r="F112" s="14"/>
      <c r="G112" s="14"/>
      <c r="H112" s="15"/>
      <c r="I112" s="16"/>
      <c r="J112" s="16"/>
      <c r="K112" s="16"/>
      <c r="L112" s="16"/>
      <c r="M112" s="16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9" t="s">
        <v>81</v>
      </c>
      <c r="C114" s="9"/>
      <c r="D114" s="9"/>
      <c r="E114" s="9"/>
      <c r="F114" s="10"/>
      <c r="G114" s="10"/>
      <c r="H114" s="11"/>
      <c r="I114" s="10"/>
      <c r="J114" s="10"/>
      <c r="K114" s="10"/>
      <c r="L114" s="10"/>
      <c r="M114" s="1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5" t="s">
        <v>65</v>
      </c>
      <c r="C115" s="5"/>
      <c r="D115" s="5"/>
      <c r="E115" s="5"/>
      <c r="F115" s="12"/>
      <c r="G115" s="12"/>
      <c r="H115" s="13"/>
      <c r="I115" s="12"/>
      <c r="J115" s="12"/>
      <c r="K115" s="12"/>
      <c r="L115" s="12"/>
      <c r="M115" s="1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 t="s">
        <v>8</v>
      </c>
      <c r="C116" s="1"/>
      <c r="D116" s="1"/>
      <c r="E116" s="1"/>
      <c r="F116" s="14"/>
      <c r="G116" s="14"/>
      <c r="H116" s="15"/>
      <c r="I116" s="16"/>
      <c r="J116" s="16"/>
      <c r="K116" s="16"/>
      <c r="L116" s="16"/>
      <c r="M116" s="16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 t="s">
        <v>67</v>
      </c>
      <c r="C117" s="1"/>
      <c r="D117" s="1"/>
      <c r="E117" s="1"/>
      <c r="F117" s="14"/>
      <c r="G117" s="14"/>
      <c r="H117" s="15"/>
      <c r="I117" s="16"/>
      <c r="J117" s="16"/>
      <c r="K117" s="16"/>
      <c r="L117" s="16"/>
      <c r="M117" s="16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 t="s">
        <v>11</v>
      </c>
      <c r="C118" s="1"/>
      <c r="D118" s="1"/>
      <c r="E118" s="1"/>
      <c r="F118" s="14"/>
      <c r="G118" s="14"/>
      <c r="H118" s="15"/>
      <c r="I118" s="16"/>
      <c r="J118" s="16"/>
      <c r="K118" s="16"/>
      <c r="L118" s="16"/>
      <c r="M118" s="16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9" t="s">
        <v>82</v>
      </c>
      <c r="C120" s="9"/>
      <c r="D120" s="9"/>
      <c r="E120" s="9"/>
      <c r="F120" s="10"/>
      <c r="G120" s="10"/>
      <c r="H120" s="11"/>
      <c r="I120" s="10"/>
      <c r="J120" s="10"/>
      <c r="K120" s="10"/>
      <c r="L120" s="10"/>
      <c r="M120" s="1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5" t="s">
        <v>65</v>
      </c>
      <c r="C121" s="5"/>
      <c r="D121" s="5"/>
      <c r="E121" s="5"/>
      <c r="F121" s="12"/>
      <c r="G121" s="12"/>
      <c r="H121" s="13"/>
      <c r="I121" s="12"/>
      <c r="J121" s="12"/>
      <c r="K121" s="12"/>
      <c r="L121" s="12"/>
      <c r="M121" s="1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 t="s">
        <v>8</v>
      </c>
      <c r="C122" s="1"/>
      <c r="D122" s="1"/>
      <c r="E122" s="1"/>
      <c r="F122" s="14"/>
      <c r="G122" s="14"/>
      <c r="H122" s="15"/>
      <c r="I122" s="16"/>
      <c r="J122" s="16"/>
      <c r="K122" s="16"/>
      <c r="L122" s="16"/>
      <c r="M122" s="1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 t="s">
        <v>67</v>
      </c>
      <c r="C123" s="1"/>
      <c r="D123" s="1"/>
      <c r="E123" s="1"/>
      <c r="F123" s="14"/>
      <c r="G123" s="14"/>
      <c r="H123" s="15"/>
      <c r="I123" s="16"/>
      <c r="J123" s="16"/>
      <c r="K123" s="16"/>
      <c r="L123" s="16"/>
      <c r="M123" s="1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 t="s">
        <v>11</v>
      </c>
      <c r="C124" s="1"/>
      <c r="D124" s="1"/>
      <c r="E124" s="1"/>
      <c r="F124" s="14"/>
      <c r="G124" s="14"/>
      <c r="H124" s="15"/>
      <c r="I124" s="16"/>
      <c r="J124" s="16"/>
      <c r="K124" s="16"/>
      <c r="L124" s="16"/>
      <c r="M124" s="1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9" t="s">
        <v>83</v>
      </c>
      <c r="C126" s="9"/>
      <c r="D126" s="9"/>
      <c r="E126" s="9"/>
      <c r="F126" s="10"/>
      <c r="G126" s="10"/>
      <c r="H126" s="11"/>
      <c r="I126" s="10"/>
      <c r="J126" s="10"/>
      <c r="K126" s="10"/>
      <c r="L126" s="10"/>
      <c r="M126" s="1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5" t="s">
        <v>65</v>
      </c>
      <c r="C127" s="5"/>
      <c r="D127" s="5"/>
      <c r="E127" s="5"/>
      <c r="F127" s="12"/>
      <c r="G127" s="12"/>
      <c r="H127" s="13"/>
      <c r="I127" s="12"/>
      <c r="J127" s="12"/>
      <c r="K127" s="12"/>
      <c r="L127" s="12"/>
      <c r="M127" s="1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 t="s">
        <v>8</v>
      </c>
      <c r="C128" s="1"/>
      <c r="D128" s="1"/>
      <c r="E128" s="1"/>
      <c r="F128" s="14"/>
      <c r="G128" s="14"/>
      <c r="H128" s="15"/>
      <c r="I128" s="16"/>
      <c r="J128" s="16"/>
      <c r="K128" s="16"/>
      <c r="L128" s="16"/>
      <c r="M128" s="1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 t="s">
        <v>67</v>
      </c>
      <c r="C129" s="1"/>
      <c r="D129" s="1"/>
      <c r="E129" s="1"/>
      <c r="F129" s="14"/>
      <c r="G129" s="14"/>
      <c r="H129" s="15"/>
      <c r="I129" s="16"/>
      <c r="J129" s="16"/>
      <c r="K129" s="16"/>
      <c r="L129" s="16"/>
      <c r="M129" s="16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 t="s">
        <v>11</v>
      </c>
      <c r="C130" s="1"/>
      <c r="D130" s="1"/>
      <c r="E130" s="1"/>
      <c r="F130" s="14"/>
      <c r="G130" s="14"/>
      <c r="H130" s="15"/>
      <c r="I130" s="16"/>
      <c r="J130" s="16"/>
      <c r="K130" s="16"/>
      <c r="L130" s="16"/>
      <c r="M130" s="1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3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7F2EC"/>
  </sheetPr>
  <dimension ref="A1:Z1000"/>
  <sheetViews>
    <sheetView showGridLines="0" workbookViewId="0">
      <selection activeCell="E40" sqref="E40"/>
    </sheetView>
  </sheetViews>
  <sheetFormatPr defaultColWidth="14.44140625" defaultRowHeight="15" customHeight="1"/>
  <cols>
    <col min="1" max="1" width="2.77734375" customWidth="1"/>
    <col min="2" max="13" width="15.77734375" customWidth="1"/>
    <col min="14" max="26" width="12.777343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3" t="s">
        <v>84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5"/>
      <c r="B3" s="5" t="s">
        <v>60</v>
      </c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8" t="s">
        <v>61</v>
      </c>
      <c r="C5" s="29"/>
      <c r="D5" s="29"/>
      <c r="E5" s="29"/>
      <c r="F5" s="30">
        <v>2021</v>
      </c>
      <c r="G5" s="30">
        <f t="shared" ref="G5:M5" si="0">F5+1</f>
        <v>2022</v>
      </c>
      <c r="H5" s="31">
        <f t="shared" si="0"/>
        <v>2023</v>
      </c>
      <c r="I5" s="32">
        <f t="shared" si="0"/>
        <v>2024</v>
      </c>
      <c r="J5" s="32">
        <f t="shared" si="0"/>
        <v>2025</v>
      </c>
      <c r="K5" s="32">
        <f t="shared" si="0"/>
        <v>2026</v>
      </c>
      <c r="L5" s="32">
        <f t="shared" si="0"/>
        <v>2027</v>
      </c>
      <c r="M5" s="33">
        <f t="shared" si="0"/>
        <v>2028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/>
      <c r="B7" s="27" t="s">
        <v>85</v>
      </c>
      <c r="C7" s="27"/>
      <c r="D7" s="27"/>
      <c r="E7" s="27"/>
      <c r="F7" s="27"/>
      <c r="G7" s="27"/>
      <c r="H7" s="8"/>
      <c r="I7" s="27"/>
      <c r="J7" s="27"/>
      <c r="K7" s="27"/>
      <c r="L7" s="27"/>
      <c r="M7" s="2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 t="s">
        <v>76</v>
      </c>
      <c r="C9" s="1"/>
      <c r="D9" s="1"/>
      <c r="E9" s="1"/>
      <c r="F9" s="17"/>
      <c r="G9" s="17"/>
      <c r="H9" s="18"/>
      <c r="I9" s="17"/>
      <c r="J9" s="17"/>
      <c r="K9" s="17"/>
      <c r="L9" s="17"/>
      <c r="M9" s="1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 t="s">
        <v>77</v>
      </c>
      <c r="C10" s="1"/>
      <c r="D10" s="1"/>
      <c r="E10" s="1"/>
      <c r="F10" s="17"/>
      <c r="G10" s="17"/>
      <c r="H10" s="18"/>
      <c r="I10" s="17"/>
      <c r="J10" s="17"/>
      <c r="K10" s="17"/>
      <c r="L10" s="17"/>
      <c r="M10" s="1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 t="s">
        <v>78</v>
      </c>
      <c r="C11" s="1"/>
      <c r="D11" s="1"/>
      <c r="E11" s="1"/>
      <c r="F11" s="17"/>
      <c r="G11" s="17"/>
      <c r="H11" s="18"/>
      <c r="I11" s="17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 t="s">
        <v>79</v>
      </c>
      <c r="C12" s="1"/>
      <c r="D12" s="1"/>
      <c r="E12" s="1"/>
      <c r="F12" s="17"/>
      <c r="G12" s="17"/>
      <c r="H12" s="18"/>
      <c r="I12" s="17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9"/>
      <c r="B13" s="34" t="s">
        <v>86</v>
      </c>
      <c r="C13" s="34"/>
      <c r="D13" s="34"/>
      <c r="E13" s="34"/>
      <c r="F13" s="35"/>
      <c r="G13" s="35"/>
      <c r="H13" s="36"/>
      <c r="I13" s="35"/>
      <c r="J13" s="35"/>
      <c r="K13" s="35"/>
      <c r="L13" s="35"/>
      <c r="M13" s="35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1"/>
      <c r="B14" s="1"/>
      <c r="C14" s="1"/>
      <c r="D14" s="1"/>
      <c r="E14" s="1"/>
      <c r="F14" s="17"/>
      <c r="G14" s="17"/>
      <c r="H14" s="18"/>
      <c r="I14" s="17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 t="s">
        <v>80</v>
      </c>
      <c r="C15" s="1"/>
      <c r="D15" s="1"/>
      <c r="E15" s="1"/>
      <c r="F15" s="17"/>
      <c r="G15" s="17"/>
      <c r="H15" s="18"/>
      <c r="I15" s="17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 t="s">
        <v>81</v>
      </c>
      <c r="C16" s="1"/>
      <c r="D16" s="1"/>
      <c r="E16" s="1"/>
      <c r="F16" s="17"/>
      <c r="G16" s="17"/>
      <c r="H16" s="18"/>
      <c r="I16" s="17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 t="s">
        <v>82</v>
      </c>
      <c r="C17" s="1"/>
      <c r="D17" s="1"/>
      <c r="E17" s="1"/>
      <c r="F17" s="17"/>
      <c r="G17" s="17"/>
      <c r="H17" s="18"/>
      <c r="I17" s="17"/>
      <c r="J17" s="17"/>
      <c r="K17" s="17"/>
      <c r="L17" s="17"/>
      <c r="M17" s="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 t="s">
        <v>83</v>
      </c>
      <c r="C18" s="1"/>
      <c r="D18" s="1"/>
      <c r="E18" s="1"/>
      <c r="F18" s="17"/>
      <c r="G18" s="17"/>
      <c r="H18" s="18"/>
      <c r="I18" s="17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9"/>
      <c r="B19" s="34" t="s">
        <v>87</v>
      </c>
      <c r="C19" s="34"/>
      <c r="D19" s="34"/>
      <c r="E19" s="34"/>
      <c r="F19" s="35"/>
      <c r="G19" s="35"/>
      <c r="H19" s="36"/>
      <c r="I19" s="35"/>
      <c r="J19" s="35"/>
      <c r="K19" s="35"/>
      <c r="L19" s="35"/>
      <c r="M19" s="35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1"/>
      <c r="B20" s="1"/>
      <c r="C20" s="1"/>
      <c r="D20" s="1"/>
      <c r="E20" s="1"/>
      <c r="F20" s="17"/>
      <c r="G20" s="17"/>
      <c r="H20" s="18"/>
      <c r="I20" s="17"/>
      <c r="J20" s="17"/>
      <c r="K20" s="17"/>
      <c r="L20" s="17"/>
      <c r="M20" s="1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37" t="s">
        <v>85</v>
      </c>
      <c r="C21" s="37"/>
      <c r="D21" s="37"/>
      <c r="E21" s="37"/>
      <c r="F21" s="38"/>
      <c r="G21" s="38"/>
      <c r="H21" s="39"/>
      <c r="I21" s="38"/>
      <c r="J21" s="38"/>
      <c r="K21" s="38"/>
      <c r="L21" s="38"/>
      <c r="M21" s="3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40" t="s">
        <v>88</v>
      </c>
      <c r="C22" s="40"/>
      <c r="D22" s="40"/>
      <c r="E22" s="40"/>
      <c r="F22" s="41"/>
      <c r="G22" s="41"/>
      <c r="H22" s="42"/>
      <c r="I22" s="41"/>
      <c r="J22" s="41"/>
      <c r="K22" s="41"/>
      <c r="L22" s="41"/>
      <c r="M22" s="4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scale="4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D9CC-7BE7-4546-B18B-9FA255E4E9FA}">
  <sheetPr>
    <tabColor rgb="FFF7F2EC"/>
  </sheetPr>
  <dimension ref="B3:S155"/>
  <sheetViews>
    <sheetView showGridLines="0" tabSelected="1" zoomScale="71" zoomScaleNormal="130" workbookViewId="0">
      <pane xSplit="3" ySplit="7" topLeftCell="D69" activePane="bottomRight" state="frozen"/>
      <selection pane="topRight" activeCell="D1" sqref="D1"/>
      <selection pane="bottomLeft" activeCell="A8" sqref="A8"/>
      <selection pane="bottomRight" activeCell="M106" sqref="M106"/>
    </sheetView>
  </sheetViews>
  <sheetFormatPr defaultColWidth="8.77734375" defaultRowHeight="14.4" outlineLevelRow="1"/>
  <cols>
    <col min="1" max="1" width="8.77734375" style="56"/>
    <col min="2" max="2" width="36.44140625" style="56" bestFit="1" customWidth="1"/>
    <col min="3" max="3" width="9.44140625" style="56" customWidth="1"/>
    <col min="4" max="6" width="11.44140625" style="56" bestFit="1" customWidth="1"/>
    <col min="7" max="7" width="11.77734375" style="56" bestFit="1" customWidth="1"/>
    <col min="8" max="8" width="11.44140625" style="56" customWidth="1"/>
    <col min="9" max="11" width="11.77734375" style="56" bestFit="1" customWidth="1"/>
    <col min="12" max="16384" width="8.77734375" style="56"/>
  </cols>
  <sheetData>
    <row r="3" spans="2:12" ht="21">
      <c r="B3" s="53"/>
      <c r="C3" s="54"/>
      <c r="D3" s="54"/>
      <c r="E3" s="54"/>
      <c r="F3" s="54"/>
      <c r="G3" s="54"/>
      <c r="H3" s="54"/>
      <c r="I3" s="54"/>
      <c r="J3" s="54"/>
      <c r="K3" s="55"/>
    </row>
    <row r="4" spans="2:12" ht="21">
      <c r="B4" s="54"/>
      <c r="C4" s="54"/>
      <c r="D4" s="54"/>
      <c r="E4" s="54"/>
      <c r="F4" s="54"/>
      <c r="G4" s="54"/>
      <c r="H4" s="54"/>
      <c r="I4" s="54"/>
      <c r="J4" s="54"/>
      <c r="K4" s="55"/>
    </row>
    <row r="5" spans="2:12" ht="21">
      <c r="B5" s="57" t="s">
        <v>89</v>
      </c>
      <c r="C5" s="57"/>
      <c r="D5" s="57"/>
      <c r="E5" s="57"/>
      <c r="F5" s="57"/>
      <c r="G5" s="57"/>
      <c r="H5" s="57"/>
      <c r="I5" s="57"/>
      <c r="J5" s="57"/>
      <c r="K5" s="58"/>
    </row>
    <row r="6" spans="2:12" ht="15" outlineLevel="1">
      <c r="B6" s="59"/>
      <c r="C6" s="59"/>
      <c r="D6" s="59"/>
      <c r="E6" s="60"/>
      <c r="F6" s="61"/>
      <c r="G6" s="62"/>
      <c r="H6" s="62"/>
      <c r="I6" s="62"/>
      <c r="J6" s="62"/>
      <c r="K6" s="63"/>
    </row>
    <row r="7" spans="2:12" ht="15.6" outlineLevel="1" thickBot="1">
      <c r="B7" s="64" t="s">
        <v>90</v>
      </c>
      <c r="C7" s="64"/>
      <c r="D7" s="65" t="s">
        <v>21</v>
      </c>
      <c r="E7" s="65" t="s">
        <v>22</v>
      </c>
      <c r="F7" s="65" t="s">
        <v>23</v>
      </c>
      <c r="G7" s="65" t="s">
        <v>24</v>
      </c>
      <c r="H7" s="65" t="s">
        <v>25</v>
      </c>
      <c r="I7" s="65" t="s">
        <v>26</v>
      </c>
      <c r="J7" s="65" t="s">
        <v>27</v>
      </c>
      <c r="K7" s="65" t="s">
        <v>28</v>
      </c>
    </row>
    <row r="8" spans="2:12" ht="15" outlineLevel="1">
      <c r="B8" s="66"/>
      <c r="C8" s="66"/>
      <c r="D8" s="67"/>
      <c r="E8" s="68"/>
      <c r="F8" s="68"/>
      <c r="G8" s="68"/>
      <c r="H8" s="68"/>
      <c r="I8" s="68"/>
      <c r="J8" s="69"/>
      <c r="K8" s="69"/>
    </row>
    <row r="9" spans="2:12" ht="15" outlineLevel="1">
      <c r="B9" s="59" t="s">
        <v>91</v>
      </c>
      <c r="C9" s="59"/>
      <c r="D9" s="70">
        <v>365</v>
      </c>
      <c r="E9" s="70">
        <v>365</v>
      </c>
      <c r="F9" s="70">
        <v>365</v>
      </c>
      <c r="G9" s="70">
        <f>365+1</f>
        <v>366</v>
      </c>
      <c r="H9" s="70">
        <v>365</v>
      </c>
      <c r="I9" s="70">
        <v>365</v>
      </c>
      <c r="J9" s="70">
        <v>365</v>
      </c>
      <c r="K9" s="70">
        <f>365+1</f>
        <v>366</v>
      </c>
    </row>
    <row r="10" spans="2:12" ht="15" outlineLevel="1">
      <c r="B10" s="59"/>
      <c r="C10" s="71"/>
      <c r="D10" s="59"/>
      <c r="E10" s="72"/>
      <c r="F10" s="72"/>
      <c r="G10" s="72"/>
      <c r="H10" s="72"/>
      <c r="I10" s="72"/>
      <c r="J10" s="72"/>
      <c r="K10" s="72"/>
    </row>
    <row r="11" spans="2:12" ht="15" outlineLevel="1">
      <c r="B11" s="59" t="s">
        <v>92</v>
      </c>
      <c r="C11" s="59"/>
      <c r="D11" s="59"/>
      <c r="E11" s="60"/>
    </row>
    <row r="12" spans="2:12" ht="15" outlineLevel="1">
      <c r="B12" s="73" t="s">
        <v>93</v>
      </c>
      <c r="C12" s="74"/>
      <c r="D12" s="75"/>
      <c r="E12" s="432">
        <f>E32/D32-1</f>
        <v>-0.10677260946664846</v>
      </c>
      <c r="F12" s="76">
        <f>F32/E32-1</f>
        <v>0.26697972740808606</v>
      </c>
      <c r="G12" s="77">
        <f>G32/F32-1</f>
        <v>0.26749231603688317</v>
      </c>
      <c r="H12" s="78">
        <f ca="1">Assumptions!J11</f>
        <v>0.29992582554739328</v>
      </c>
      <c r="I12" s="78">
        <f ca="1">Assumptions!K11</f>
        <v>0.30000000000000016</v>
      </c>
      <c r="J12" s="78">
        <f ca="1">Assumptions!L11</f>
        <v>0.30000000000000004</v>
      </c>
      <c r="K12" s="78">
        <f ca="1">Assumptions!M11</f>
        <v>0.30000000000000016</v>
      </c>
    </row>
    <row r="13" spans="2:12" ht="15" outlineLevel="1">
      <c r="B13" s="73" t="s">
        <v>94</v>
      </c>
      <c r="C13" s="74"/>
      <c r="D13" s="76">
        <f t="shared" ref="D13:G13" si="0">D34/D32</f>
        <v>0.38731755558586822</v>
      </c>
      <c r="E13" s="76">
        <f t="shared" si="0"/>
        <v>0.23204673004237769</v>
      </c>
      <c r="F13" s="76">
        <f t="shared" si="0"/>
        <v>0.48610860001205325</v>
      </c>
      <c r="G13" s="77">
        <f t="shared" si="0"/>
        <v>0.55296341202481991</v>
      </c>
      <c r="H13" s="436">
        <f ca="1">(1-Assumptions!J26)</f>
        <v>0.4</v>
      </c>
      <c r="I13" s="436">
        <f ca="1">(1-Assumptions!K26)</f>
        <v>0.4</v>
      </c>
      <c r="J13" s="436">
        <f ca="1">(1-Assumptions!L26)</f>
        <v>0.4</v>
      </c>
      <c r="K13" s="436">
        <f ca="1">(1-Assumptions!M26)</f>
        <v>0.4</v>
      </c>
    </row>
    <row r="14" spans="2:12" ht="15" outlineLevel="1">
      <c r="B14" s="73" t="s">
        <v>95</v>
      </c>
      <c r="C14" s="74"/>
      <c r="D14" s="79">
        <f t="shared" ref="D14:G14" si="1">D36</f>
        <v>170.3</v>
      </c>
      <c r="E14" s="79">
        <f t="shared" si="1"/>
        <v>164.7</v>
      </c>
      <c r="F14" s="79">
        <f t="shared" si="1"/>
        <v>197.6</v>
      </c>
      <c r="G14" s="80">
        <f t="shared" si="1"/>
        <v>188.3</v>
      </c>
      <c r="H14" s="439">
        <f ca="1">G14*(1+Assumptions!J32)</f>
        <v>205.24700000000001</v>
      </c>
      <c r="I14" s="439">
        <f ca="1">H14*(1+Assumptions!K32)</f>
        <v>223.71923000000004</v>
      </c>
      <c r="J14" s="439">
        <f ca="1">I14*(1+Assumptions!L32)</f>
        <v>243.85396070000007</v>
      </c>
      <c r="K14" s="439">
        <f ca="1">J14*(1+Assumptions!M32)</f>
        <v>265.80081716300009</v>
      </c>
    </row>
    <row r="15" spans="2:12" ht="15" outlineLevel="1">
      <c r="B15" s="73" t="s">
        <v>96</v>
      </c>
      <c r="C15" s="73"/>
      <c r="D15" s="76">
        <f t="shared" ref="D15:G15" si="2">D37/D32</f>
        <v>3.3794843813940795E-2</v>
      </c>
      <c r="E15" s="76">
        <f t="shared" si="2"/>
        <v>4.3064941014774934E-2</v>
      </c>
      <c r="F15" s="76">
        <f t="shared" si="2"/>
        <v>4.5892846381004042E-2</v>
      </c>
      <c r="G15" s="77">
        <f t="shared" si="2"/>
        <v>4.5503173810712505E-2</v>
      </c>
      <c r="H15" s="436">
        <f ca="1">Assumptions!I38</f>
        <v>3.9E-2</v>
      </c>
      <c r="I15" s="436">
        <f ca="1">Assumptions!J38</f>
        <v>3.9E-2</v>
      </c>
      <c r="J15" s="436">
        <f ca="1">Assumptions!K38</f>
        <v>3.9E-2</v>
      </c>
      <c r="K15" s="436">
        <f ca="1">Assumptions!L38</f>
        <v>3.9E-2</v>
      </c>
    </row>
    <row r="16" spans="2:12" ht="15" outlineLevel="1">
      <c r="B16" s="73" t="s">
        <v>97</v>
      </c>
      <c r="C16" s="73"/>
      <c r="D16" s="76">
        <f>D118/D32*-1</f>
        <v>0.18425180739326147</v>
      </c>
      <c r="E16" s="76">
        <f>E118/E32*-1</f>
        <v>0.34497766578856948</v>
      </c>
      <c r="F16" s="76">
        <f>F118/F32*-1</f>
        <v>0.41773639486530462</v>
      </c>
      <c r="G16" s="76">
        <f>G118/G32*-1</f>
        <v>0.36278914960891995</v>
      </c>
      <c r="H16" s="436">
        <f ca="1">Assumptions!J86</f>
        <v>0.28000000000000003</v>
      </c>
      <c r="I16" s="436">
        <f ca="1">Assumptions!K86</f>
        <v>0.2</v>
      </c>
      <c r="J16" s="436">
        <f ca="1">Assumptions!L86</f>
        <v>0.15</v>
      </c>
      <c r="K16" s="436">
        <f ca="1">Assumptions!M86</f>
        <v>8.0199999999999994E-2</v>
      </c>
      <c r="L16" s="56" t="s">
        <v>98</v>
      </c>
    </row>
    <row r="17" spans="2:19" ht="15" outlineLevel="1">
      <c r="B17" s="73" t="s">
        <v>99</v>
      </c>
      <c r="C17" s="73"/>
      <c r="D17" s="76">
        <f>D44/D32</f>
        <v>-4.467330514254535E-3</v>
      </c>
      <c r="E17" s="76">
        <f>E44/E32</f>
        <v>-4.6577329820944521E-3</v>
      </c>
      <c r="F17" s="76">
        <f>F44/F32</f>
        <v>-3.917314530223588E-3</v>
      </c>
      <c r="G17" s="76">
        <f>G44/G32</f>
        <v>-9.2480327128355074E-3</v>
      </c>
      <c r="H17" s="436">
        <f ca="1">Assumptions!I109*-1</f>
        <v>-1.2E-2</v>
      </c>
      <c r="I17" s="436">
        <f ca="1">Assumptions!J109*-1</f>
        <v>-1.2E-2</v>
      </c>
      <c r="J17" s="436">
        <f ca="1">Assumptions!K109*-1</f>
        <v>-1.2E-2</v>
      </c>
      <c r="K17" s="436">
        <f ca="1">Assumptions!L109*-1</f>
        <v>-1.2E-2</v>
      </c>
      <c r="L17" s="501"/>
    </row>
    <row r="18" spans="2:19" ht="15" outlineLevel="1">
      <c r="B18" s="73" t="s">
        <v>100</v>
      </c>
      <c r="C18" s="73"/>
      <c r="D18" s="76">
        <f>D106/D32</f>
        <v>8.3071886509343884E-2</v>
      </c>
      <c r="E18" s="76">
        <f>E106/E32</f>
        <v>9.6705226587256138E-2</v>
      </c>
      <c r="F18" s="76">
        <f>F106/F32</f>
        <v>8.7988910986560601E-2</v>
      </c>
      <c r="G18" s="76">
        <f>G106/G32</f>
        <v>9.6807170197085318E-2</v>
      </c>
      <c r="H18" s="436">
        <f ca="1">Assumptions!I44</f>
        <v>0.12</v>
      </c>
      <c r="I18" s="436">
        <f ca="1">Assumptions!J44</f>
        <v>0.12</v>
      </c>
      <c r="J18" s="436">
        <f ca="1">Assumptions!K44</f>
        <v>0.12</v>
      </c>
      <c r="K18" s="436">
        <f ca="1">Assumptions!L44</f>
        <v>0.12</v>
      </c>
    </row>
    <row r="19" spans="2:19" ht="15" outlineLevel="1">
      <c r="B19" s="73" t="s">
        <v>101</v>
      </c>
      <c r="C19" s="73"/>
      <c r="D19" s="432">
        <f t="shared" ref="D19:G19" si="3">D50/D48*-1</f>
        <v>-0.1808798625662571</v>
      </c>
      <c r="E19" s="432" t="s">
        <v>102</v>
      </c>
      <c r="F19" s="432">
        <f t="shared" si="3"/>
        <v>-6.7942862913632343E-2</v>
      </c>
      <c r="G19" s="432">
        <f t="shared" si="3"/>
        <v>-8.129648098887117E-2</v>
      </c>
      <c r="H19" s="436">
        <f ca="1">Assumptions!J91*-1</f>
        <v>-0.09</v>
      </c>
      <c r="I19" s="436">
        <f ca="1">Assumptions!K91*-1</f>
        <v>-0.12</v>
      </c>
      <c r="J19" s="436">
        <f ca="1">Assumptions!L91*-1</f>
        <v>-0.18</v>
      </c>
      <c r="K19" s="436">
        <f ca="1">Assumptions!M91*-1</f>
        <v>-0.21</v>
      </c>
      <c r="M19"/>
    </row>
    <row r="20" spans="2:19" ht="15" outlineLevel="1">
      <c r="B20" s="73"/>
      <c r="C20" s="73"/>
      <c r="D20" s="82"/>
      <c r="E20" s="76"/>
      <c r="F20" s="76"/>
      <c r="G20" s="78"/>
      <c r="H20" s="78"/>
      <c r="I20" s="78"/>
      <c r="J20" s="78"/>
      <c r="K20" s="78"/>
    </row>
    <row r="21" spans="2:19" ht="15" outlineLevel="1">
      <c r="B21" s="59" t="s">
        <v>103</v>
      </c>
      <c r="C21" s="59"/>
      <c r="D21" s="84"/>
      <c r="E21" s="85"/>
      <c r="F21" s="85"/>
      <c r="G21" s="86"/>
      <c r="H21" s="86"/>
      <c r="I21" s="86"/>
      <c r="J21" s="86"/>
      <c r="K21" s="86"/>
    </row>
    <row r="22" spans="2:19" ht="15" outlineLevel="1">
      <c r="B22" s="73" t="s">
        <v>104</v>
      </c>
      <c r="C22" s="87" t="s">
        <v>105</v>
      </c>
      <c r="D22" s="83">
        <f>D32/D71</f>
        <v>0.95381212594327347</v>
      </c>
      <c r="E22" s="83">
        <f>E32/E71</f>
        <v>0.72155037051320914</v>
      </c>
      <c r="F22" s="83">
        <f>F32/F71</f>
        <v>0.73766337690050687</v>
      </c>
      <c r="G22" s="88">
        <f>G32/G71</f>
        <v>0.75690995465342259</v>
      </c>
      <c r="H22" s="81">
        <f>AVERAGE($E22:G22)</f>
        <v>0.73870790068904613</v>
      </c>
      <c r="I22" s="81">
        <f>AVERAGE($E22:H22)</f>
        <v>0.73870790068904613</v>
      </c>
      <c r="J22" s="81">
        <f>AVERAGE($E22:I22)</f>
        <v>0.73870790068904613</v>
      </c>
      <c r="K22" s="81">
        <f>AVERAGE($E22:J22)</f>
        <v>0.73870790068904613</v>
      </c>
    </row>
    <row r="23" spans="2:19" ht="15" outlineLevel="1">
      <c r="B23" s="73" t="s">
        <v>106</v>
      </c>
      <c r="C23" s="87" t="s">
        <v>107</v>
      </c>
      <c r="D23" s="83">
        <f>D62/D32*D9</f>
        <v>59.086584367753375</v>
      </c>
      <c r="E23" s="83">
        <f>E62/E32*E9</f>
        <v>45.191272477379449</v>
      </c>
      <c r="F23" s="83">
        <f>F62/F32*F9</f>
        <v>72.678840474899047</v>
      </c>
      <c r="G23" s="88">
        <f>G62/G32*G9</f>
        <v>109.79216888952286</v>
      </c>
      <c r="H23" s="81">
        <f ca="1">Assumptions!I62</f>
        <v>55</v>
      </c>
      <c r="I23" s="81">
        <f ca="1">Assumptions!J62</f>
        <v>55</v>
      </c>
      <c r="J23" s="81">
        <f ca="1">Assumptions!K62</f>
        <v>55</v>
      </c>
      <c r="K23" s="81">
        <f ca="1">Assumptions!L62</f>
        <v>55</v>
      </c>
    </row>
    <row r="24" spans="2:19" ht="15" outlineLevel="1">
      <c r="B24" s="73" t="s">
        <v>108</v>
      </c>
      <c r="C24" s="87" t="s">
        <v>107</v>
      </c>
      <c r="D24" s="83">
        <f>D63/-D33*D9</f>
        <v>158.13829224715158</v>
      </c>
      <c r="E24" s="83">
        <f>E63/-E33*E9</f>
        <v>133.51578424061643</v>
      </c>
      <c r="F24" s="83">
        <f>F63/-F33*F9</f>
        <v>207.19860443297759</v>
      </c>
      <c r="G24" s="88">
        <f>G63/-G33*G9</f>
        <v>252.76280731983596</v>
      </c>
      <c r="H24" s="439">
        <f>AVERAGE($E24:G24)</f>
        <v>197.82573199780998</v>
      </c>
      <c r="I24" s="81">
        <f>AVERAGE($E24:H24)</f>
        <v>197.82573199780998</v>
      </c>
      <c r="J24" s="81">
        <f>AVERAGE($E24:I24)</f>
        <v>197.82573199780998</v>
      </c>
      <c r="K24" s="81">
        <f>AVERAGE($E24:J24)</f>
        <v>197.82573199780998</v>
      </c>
    </row>
    <row r="25" spans="2:19" ht="15" outlineLevel="1">
      <c r="B25" s="73" t="s">
        <v>109</v>
      </c>
      <c r="C25" s="87" t="s">
        <v>107</v>
      </c>
      <c r="D25" s="83">
        <f>D77/-D33*D9</f>
        <v>39.270467486349439</v>
      </c>
      <c r="E25" s="83">
        <f>E77/-E33*E9</f>
        <v>61.949291573452633</v>
      </c>
      <c r="F25" s="83">
        <f>F77/-F33*F9</f>
        <v>44.34619444118681</v>
      </c>
      <c r="G25" s="88">
        <f>G77/-G33*G9</f>
        <v>93.856634598509871</v>
      </c>
      <c r="H25" s="81">
        <f ca="1">Assumptions!I80</f>
        <v>35</v>
      </c>
      <c r="I25" s="81">
        <f ca="1">Assumptions!J80</f>
        <v>35</v>
      </c>
      <c r="J25" s="81">
        <f ca="1">Assumptions!K80</f>
        <v>35</v>
      </c>
      <c r="K25" s="81">
        <f ca="1">Assumptions!L80</f>
        <v>35</v>
      </c>
    </row>
    <row r="26" spans="2:19" ht="15" outlineLevel="1">
      <c r="B26" s="73" t="s">
        <v>110</v>
      </c>
      <c r="C26" s="73"/>
      <c r="D26" s="89">
        <f t="shared" ref="D26:G26" si="4">D85</f>
        <v>236</v>
      </c>
      <c r="E26" s="89">
        <f t="shared" si="4"/>
        <v>184.3</v>
      </c>
      <c r="F26" s="89">
        <f t="shared" si="4"/>
        <v>464.1</v>
      </c>
      <c r="G26" s="90">
        <f t="shared" si="4"/>
        <v>373.3</v>
      </c>
      <c r="H26" s="81">
        <f>AVERAGE($E26:G26)</f>
        <v>340.56666666666666</v>
      </c>
      <c r="I26" s="81">
        <f>AVERAGE($E26:H26)</f>
        <v>340.56666666666666</v>
      </c>
      <c r="J26" s="81">
        <f>AVERAGE($E26:I26)</f>
        <v>340.56666666666666</v>
      </c>
      <c r="K26" s="81">
        <f>AVERAGE($E26:J26)</f>
        <v>340.56666666666666</v>
      </c>
    </row>
    <row r="27" spans="2:19" ht="15">
      <c r="J27" s="91"/>
      <c r="K27" s="91"/>
    </row>
    <row r="28" spans="2:19" ht="21">
      <c r="B28" s="92" t="s">
        <v>92</v>
      </c>
      <c r="C28" s="93"/>
      <c r="D28" s="93"/>
      <c r="E28" s="93"/>
      <c r="F28" s="93"/>
      <c r="G28" s="94"/>
      <c r="H28" s="94"/>
      <c r="I28" s="95"/>
      <c r="J28" s="96"/>
      <c r="K28" s="96"/>
    </row>
    <row r="29" spans="2:19" ht="15" outlineLevel="1">
      <c r="B29" s="97"/>
      <c r="C29" s="97"/>
      <c r="D29" s="97"/>
      <c r="E29" s="97"/>
      <c r="F29" s="97"/>
      <c r="G29" s="69"/>
      <c r="H29" s="69"/>
      <c r="I29" s="69"/>
      <c r="J29" s="91"/>
    </row>
    <row r="30" spans="2:19" ht="15.6" outlineLevel="1" thickBot="1">
      <c r="B30" s="98" t="s">
        <v>90</v>
      </c>
      <c r="D30" s="65" t="str">
        <f>D$7</f>
        <v>2021A</v>
      </c>
      <c r="E30" s="65" t="str">
        <f t="shared" ref="E30:K30" si="5">E$7</f>
        <v>2022A</v>
      </c>
      <c r="F30" s="65" t="str">
        <f t="shared" si="5"/>
        <v>2023A</v>
      </c>
      <c r="G30" s="65" t="str">
        <f t="shared" si="5"/>
        <v>2024A</v>
      </c>
      <c r="H30" s="65" t="str">
        <f t="shared" si="5"/>
        <v>2025E</v>
      </c>
      <c r="I30" s="65" t="str">
        <f t="shared" si="5"/>
        <v>2026E</v>
      </c>
      <c r="J30" s="65" t="str">
        <f t="shared" si="5"/>
        <v>2027E</v>
      </c>
      <c r="K30" s="65" t="str">
        <f t="shared" si="5"/>
        <v>2028E</v>
      </c>
    </row>
    <row r="31" spans="2:19" ht="15" outlineLevel="1">
      <c r="B31" s="98"/>
      <c r="D31" s="99"/>
      <c r="E31" s="99"/>
      <c r="F31" s="99"/>
      <c r="G31" s="99"/>
      <c r="H31" s="69"/>
      <c r="I31" s="100"/>
      <c r="J31" s="91"/>
      <c r="K31" s="91"/>
    </row>
    <row r="32" spans="2:19" ht="15" outlineLevel="1">
      <c r="B32" s="91" t="s">
        <v>111</v>
      </c>
      <c r="D32" s="101">
        <v>2932.4</v>
      </c>
      <c r="E32" s="101">
        <v>2619.3000000000002</v>
      </c>
      <c r="F32" s="101">
        <v>3318.6</v>
      </c>
      <c r="G32" s="101">
        <v>4206.3</v>
      </c>
      <c r="H32" s="102">
        <f ca="1">Assumptions!J10</f>
        <v>5467.8780000000006</v>
      </c>
      <c r="I32" s="102">
        <f ca="1">H32*(1+I12)</f>
        <v>7108.2414000000026</v>
      </c>
      <c r="J32" s="102">
        <f ca="1">I32*(1+J12)</f>
        <v>9240.7138200000045</v>
      </c>
      <c r="K32" s="102">
        <f ca="1">J32*(1+K12)</f>
        <v>12012.927966000008</v>
      </c>
      <c r="N32" s="524"/>
      <c r="O32" s="524"/>
      <c r="P32" s="524"/>
      <c r="Q32" s="524"/>
      <c r="R32" s="524"/>
      <c r="S32" s="524"/>
    </row>
    <row r="33" spans="2:14" ht="15" outlineLevel="1">
      <c r="B33" s="91" t="s">
        <v>112</v>
      </c>
      <c r="D33" s="103">
        <f>-2040.23+D38</f>
        <v>-1796.63</v>
      </c>
      <c r="E33" s="103">
        <f>-2264.8+E38</f>
        <v>-2011.5000000000002</v>
      </c>
      <c r="F33" s="103">
        <f>-1997.4+F38</f>
        <v>-1705.4</v>
      </c>
      <c r="G33" s="103">
        <f>-2287.57+G38</f>
        <v>-1880.3700000000001</v>
      </c>
      <c r="H33" s="104">
        <f ca="1">(1-H13)*H32*-1</f>
        <v>-3280.7268000000004</v>
      </c>
      <c r="I33" s="104">
        <f ca="1">(1-I13)*I32*-1</f>
        <v>-4264.944840000001</v>
      </c>
      <c r="J33" s="104">
        <f ca="1">(1-J13)*J32*-1</f>
        <v>-5544.4282920000023</v>
      </c>
      <c r="K33" s="104">
        <f ca="1">(1-K13)*K32*-1</f>
        <v>-7207.7567796000048</v>
      </c>
      <c r="L33" s="105"/>
      <c r="M33" s="105"/>
      <c r="N33" s="105"/>
    </row>
    <row r="34" spans="2:14" ht="15" outlineLevel="1">
      <c r="B34" s="106" t="s">
        <v>113</v>
      </c>
      <c r="D34" s="107">
        <f t="shared" ref="D34:K34" si="6">SUM(D32,D33)</f>
        <v>1135.77</v>
      </c>
      <c r="E34" s="107">
        <f t="shared" si="6"/>
        <v>607.79999999999995</v>
      </c>
      <c r="F34" s="107">
        <f t="shared" si="6"/>
        <v>1613.1999999999998</v>
      </c>
      <c r="G34" s="107">
        <f t="shared" si="6"/>
        <v>2325.9300000000003</v>
      </c>
      <c r="H34" s="108">
        <f t="shared" ca="1" si="6"/>
        <v>2187.1512000000002</v>
      </c>
      <c r="I34" s="108">
        <f t="shared" ca="1" si="6"/>
        <v>2843.2965600000016</v>
      </c>
      <c r="J34" s="108">
        <f t="shared" ca="1" si="6"/>
        <v>3696.2855280000022</v>
      </c>
      <c r="K34" s="108">
        <f t="shared" ca="1" si="6"/>
        <v>4805.1711864000035</v>
      </c>
    </row>
    <row r="35" spans="2:14" ht="15" outlineLevel="1">
      <c r="B35" s="91"/>
      <c r="D35" s="101"/>
      <c r="E35" s="101"/>
      <c r="F35" s="101"/>
      <c r="G35" s="101"/>
      <c r="H35" s="102"/>
      <c r="I35" s="102"/>
      <c r="J35" s="102"/>
      <c r="K35" s="102"/>
    </row>
    <row r="36" spans="2:14" ht="15" outlineLevel="1">
      <c r="B36" s="109" t="s">
        <v>114</v>
      </c>
      <c r="D36" s="110">
        <v>170.3</v>
      </c>
      <c r="E36" s="110">
        <v>164.7</v>
      </c>
      <c r="F36" s="110">
        <v>197.6</v>
      </c>
      <c r="G36" s="110">
        <v>188.3</v>
      </c>
      <c r="H36" s="102">
        <f ca="1">H14</f>
        <v>205.24700000000001</v>
      </c>
      <c r="I36" s="102">
        <f ca="1">I14</f>
        <v>223.71923000000004</v>
      </c>
      <c r="J36" s="102">
        <f ca="1">J14</f>
        <v>243.85396070000007</v>
      </c>
      <c r="K36" s="102">
        <f ca="1">K14</f>
        <v>265.80081716300009</v>
      </c>
    </row>
    <row r="37" spans="2:14" ht="15" outlineLevel="1">
      <c r="B37" s="109" t="s">
        <v>115</v>
      </c>
      <c r="D37" s="110">
        <v>99.1</v>
      </c>
      <c r="E37" s="110">
        <v>112.8</v>
      </c>
      <c r="F37" s="110">
        <v>152.30000000000001</v>
      </c>
      <c r="G37" s="110">
        <v>191.4</v>
      </c>
      <c r="H37" s="102">
        <f ca="1">H15*H32</f>
        <v>213.24724200000003</v>
      </c>
      <c r="I37" s="102">
        <f ca="1">I15*I32</f>
        <v>277.22141460000012</v>
      </c>
      <c r="J37" s="102">
        <f ca="1">J15*J32</f>
        <v>360.3878389800002</v>
      </c>
      <c r="K37" s="102">
        <f ca="1">K15*K32</f>
        <v>468.50419067400031</v>
      </c>
    </row>
    <row r="38" spans="2:14" ht="15" outlineLevel="1">
      <c r="B38" s="109" t="s">
        <v>116</v>
      </c>
      <c r="D38" s="110">
        <v>243.6</v>
      </c>
      <c r="E38" s="110">
        <v>253.3</v>
      </c>
      <c r="F38" s="110">
        <v>292</v>
      </c>
      <c r="G38" s="110">
        <v>407.2</v>
      </c>
      <c r="H38" s="110">
        <f ca="1">-H149</f>
        <v>666.86399999999992</v>
      </c>
      <c r="I38" s="110">
        <f ca="1">-I149</f>
        <v>770.56102080000005</v>
      </c>
      <c r="J38" s="110">
        <f ca="1">-J149</f>
        <v>848.69149190400015</v>
      </c>
      <c r="K38" s="110">
        <f ca="1">-K149</f>
        <v>913.18136163552026</v>
      </c>
    </row>
    <row r="39" spans="2:14" ht="15" outlineLevel="1">
      <c r="B39" s="109" t="s">
        <v>117</v>
      </c>
      <c r="D39" s="110">
        <v>21.1</v>
      </c>
      <c r="E39" s="110">
        <v>73</v>
      </c>
      <c r="F39" s="110">
        <v>64.7</v>
      </c>
      <c r="G39" s="110">
        <v>84.5</v>
      </c>
      <c r="H39" s="111">
        <f ca="1">G33*Assumptions!I97*-1</f>
        <v>169.23330000000001</v>
      </c>
      <c r="I39" s="111">
        <f ca="1">H33*Assumptions!J97*-1</f>
        <v>295.26541200000003</v>
      </c>
      <c r="J39" s="111">
        <f ca="1">I33*Assumptions!K97*-1</f>
        <v>383.84503560000007</v>
      </c>
      <c r="K39" s="111">
        <f ca="1">J33*Assumptions!L97*-1</f>
        <v>498.9985462800002</v>
      </c>
    </row>
    <row r="40" spans="2:14" ht="15" outlineLevel="1">
      <c r="B40" s="112" t="s">
        <v>118</v>
      </c>
      <c r="D40" s="113">
        <f t="shared" ref="D40:G40" si="7">SUM(D36:D39)</f>
        <v>534.1</v>
      </c>
      <c r="E40" s="113">
        <f t="shared" si="7"/>
        <v>603.79999999999995</v>
      </c>
      <c r="F40" s="113">
        <f t="shared" si="7"/>
        <v>706.6</v>
      </c>
      <c r="G40" s="113">
        <f t="shared" si="7"/>
        <v>871.40000000000009</v>
      </c>
      <c r="H40" s="114">
        <f ca="1">SUM(H36:H39)</f>
        <v>1254.5915420000001</v>
      </c>
      <c r="I40" s="114">
        <f ca="1">SUM(I36:I39)</f>
        <v>1566.7670774000001</v>
      </c>
      <c r="J40" s="114">
        <f ca="1">SUM(J36:J39)</f>
        <v>1836.7783271840005</v>
      </c>
      <c r="K40" s="114">
        <f ca="1">SUM(K36:K39)</f>
        <v>2146.4849157525209</v>
      </c>
    </row>
    <row r="41" spans="2:14" ht="15" outlineLevel="1">
      <c r="B41" s="109"/>
      <c r="D41" s="115"/>
      <c r="E41" s="115"/>
      <c r="F41" s="115"/>
      <c r="G41" s="115"/>
      <c r="H41" s="102"/>
      <c r="I41" s="102"/>
      <c r="J41" s="102"/>
      <c r="K41" s="102"/>
    </row>
    <row r="42" spans="2:14" ht="15" outlineLevel="1">
      <c r="B42" s="112" t="s">
        <v>119</v>
      </c>
      <c r="D42" s="107">
        <f>D34-D40</f>
        <v>601.66999999999996</v>
      </c>
      <c r="E42" s="107">
        <f t="shared" ref="E42:K42" si="8">E34-E40</f>
        <v>4</v>
      </c>
      <c r="F42" s="107">
        <f t="shared" si="8"/>
        <v>906.5999999999998</v>
      </c>
      <c r="G42" s="107">
        <f t="shared" si="8"/>
        <v>1454.5300000000002</v>
      </c>
      <c r="H42" s="107">
        <f ca="1">H34-H40</f>
        <v>932.55965800000013</v>
      </c>
      <c r="I42" s="107">
        <f t="shared" ca="1" si="8"/>
        <v>1276.5294826000015</v>
      </c>
      <c r="J42" s="107">
        <f t="shared" ca="1" si="8"/>
        <v>1859.5072008160016</v>
      </c>
      <c r="K42" s="107">
        <f t="shared" ca="1" si="8"/>
        <v>2658.6862706474826</v>
      </c>
    </row>
    <row r="43" spans="2:14" ht="15" outlineLevel="1">
      <c r="B43" s="91"/>
      <c r="D43" s="101"/>
      <c r="E43" s="101"/>
      <c r="F43" s="101"/>
      <c r="G43" s="101"/>
      <c r="H43" s="102"/>
      <c r="I43" s="102"/>
      <c r="J43" s="116"/>
      <c r="K43" s="116"/>
    </row>
    <row r="44" spans="2:14" ht="15" outlineLevel="1">
      <c r="B44" s="109" t="s">
        <v>54</v>
      </c>
      <c r="D44" s="110">
        <v>-13.1</v>
      </c>
      <c r="E44" s="110">
        <v>-12.2</v>
      </c>
      <c r="F44" s="110">
        <v>-13</v>
      </c>
      <c r="G44" s="110">
        <v>-38.9</v>
      </c>
      <c r="H44" s="102">
        <f ca="1">H17*G85</f>
        <v>-4.4796000000000005</v>
      </c>
      <c r="I44" s="102">
        <f ca="1">I17*H85</f>
        <v>-3.39</v>
      </c>
      <c r="J44" s="102">
        <f ca="1">J17*I85</f>
        <v>-2.3003999999999998</v>
      </c>
      <c r="K44" s="102">
        <f ca="1">K17*J85</f>
        <v>-1.2107999999999999</v>
      </c>
    </row>
    <row r="45" spans="2:14" ht="15" outlineLevel="1">
      <c r="B45" s="109" t="s">
        <v>120</v>
      </c>
      <c r="D45" s="110">
        <v>3.3000000000000002E-2</v>
      </c>
      <c r="E45" s="110">
        <v>33.200000000000003</v>
      </c>
      <c r="F45" s="110">
        <v>19.09</v>
      </c>
      <c r="G45" s="110">
        <v>17.585999999999999</v>
      </c>
      <c r="H45" s="102">
        <f>G45</f>
        <v>17.585999999999999</v>
      </c>
      <c r="I45" s="102">
        <f>H45</f>
        <v>17.585999999999999</v>
      </c>
      <c r="J45" s="102">
        <f>I45</f>
        <v>17.585999999999999</v>
      </c>
      <c r="K45" s="102">
        <f>J45</f>
        <v>17.585999999999999</v>
      </c>
      <c r="L45" s="56" t="s">
        <v>121</v>
      </c>
    </row>
    <row r="46" spans="2:14" ht="15" outlineLevel="1">
      <c r="B46" s="109" t="s">
        <v>122</v>
      </c>
      <c r="D46" s="110">
        <v>-16.399999999999999</v>
      </c>
      <c r="E46" s="110">
        <v>-16.399999999999999</v>
      </c>
      <c r="F46" s="110">
        <v>-21.5</v>
      </c>
      <c r="G46" s="110">
        <f>F46/F32*G32</f>
        <v>-27.251084794792988</v>
      </c>
      <c r="H46" s="110">
        <f t="shared" ref="H46:K46" ca="1" si="9">G46/G32*H32</f>
        <v>-35.424388898933287</v>
      </c>
      <c r="I46" s="110">
        <f t="shared" ca="1" si="9"/>
        <v>-46.051705568613286</v>
      </c>
      <c r="J46" s="110">
        <f t="shared" ca="1" si="9"/>
        <v>-59.867217239197274</v>
      </c>
      <c r="K46" s="110">
        <f t="shared" ca="1" si="9"/>
        <v>-77.827382410956474</v>
      </c>
      <c r="L46" s="322" t="s">
        <v>55</v>
      </c>
    </row>
    <row r="47" spans="2:14" ht="15" outlineLevel="1">
      <c r="B47" s="109" t="s">
        <v>123</v>
      </c>
      <c r="D47" s="117">
        <f>SUM(D44:D46)</f>
        <v>-29.466999999999999</v>
      </c>
      <c r="E47" s="117">
        <f t="shared" ref="E47:K47" si="10">SUM(E44:E46)</f>
        <v>4.600000000000005</v>
      </c>
      <c r="F47" s="117">
        <f t="shared" si="10"/>
        <v>-15.41</v>
      </c>
      <c r="G47" s="117">
        <f t="shared" si="10"/>
        <v>-48.565084794792988</v>
      </c>
      <c r="H47" s="117">
        <f t="shared" ca="1" si="10"/>
        <v>-22.31798889893329</v>
      </c>
      <c r="I47" s="117">
        <f t="shared" ca="1" si="10"/>
        <v>-31.855705568613288</v>
      </c>
      <c r="J47" s="117">
        <f t="shared" ca="1" si="10"/>
        <v>-44.581617239197271</v>
      </c>
      <c r="K47" s="117">
        <f t="shared" ca="1" si="10"/>
        <v>-61.452182410956475</v>
      </c>
    </row>
    <row r="48" spans="2:14" ht="15" outlineLevel="1">
      <c r="B48" s="112" t="s">
        <v>124</v>
      </c>
      <c r="C48" s="428"/>
      <c r="D48" s="429">
        <f t="shared" ref="D48:K48" si="11">D42+D47</f>
        <v>572.20299999999997</v>
      </c>
      <c r="E48" s="429">
        <f t="shared" si="11"/>
        <v>8.600000000000005</v>
      </c>
      <c r="F48" s="429">
        <f t="shared" si="11"/>
        <v>891.18999999999983</v>
      </c>
      <c r="G48" s="429">
        <f t="shared" si="11"/>
        <v>1405.9649152052073</v>
      </c>
      <c r="H48" s="430">
        <f t="shared" ca="1" si="11"/>
        <v>910.2416691010668</v>
      </c>
      <c r="I48" s="430">
        <f t="shared" ca="1" si="11"/>
        <v>1244.6737770313882</v>
      </c>
      <c r="J48" s="431">
        <f t="shared" ca="1" si="11"/>
        <v>1814.9255835768045</v>
      </c>
      <c r="K48" s="431">
        <f t="shared" ca="1" si="11"/>
        <v>2597.2340882365261</v>
      </c>
    </row>
    <row r="49" spans="2:13" ht="15" outlineLevel="1">
      <c r="B49" s="112"/>
      <c r="D49" s="107"/>
      <c r="E49" s="107"/>
      <c r="F49" s="107"/>
      <c r="G49" s="107"/>
      <c r="H49" s="102"/>
      <c r="I49" s="102"/>
      <c r="J49" s="114"/>
      <c r="K49" s="118"/>
    </row>
    <row r="50" spans="2:13" ht="15" outlineLevel="1">
      <c r="B50" s="109" t="s">
        <v>125</v>
      </c>
      <c r="D50" s="117">
        <v>103.5</v>
      </c>
      <c r="E50" s="117">
        <v>52.8</v>
      </c>
      <c r="F50" s="117">
        <v>60.55</v>
      </c>
      <c r="G50" s="117">
        <v>114.3</v>
      </c>
      <c r="H50" s="117">
        <f ca="1">H32*H19*-1</f>
        <v>492.10902000000004</v>
      </c>
      <c r="I50" s="117">
        <f t="shared" ref="I50:K50" ca="1" si="12">I32*I19*-1</f>
        <v>852.98896800000023</v>
      </c>
      <c r="J50" s="117">
        <f t="shared" ca="1" si="12"/>
        <v>1663.3284876000007</v>
      </c>
      <c r="K50" s="117">
        <f t="shared" ca="1" si="12"/>
        <v>2522.7148728600018</v>
      </c>
    </row>
    <row r="51" spans="2:13" ht="15" outlineLevel="1">
      <c r="B51" s="112" t="s">
        <v>126</v>
      </c>
      <c r="D51" s="119">
        <f>D48-D50</f>
        <v>468.70299999999997</v>
      </c>
      <c r="E51" s="119">
        <f t="shared" ref="E51:K51" si="13">E48-E50</f>
        <v>-44.199999999999989</v>
      </c>
      <c r="F51" s="119">
        <f t="shared" si="13"/>
        <v>830.63999999999987</v>
      </c>
      <c r="G51" s="119">
        <f t="shared" si="13"/>
        <v>1291.6649152052073</v>
      </c>
      <c r="H51" s="119">
        <f t="shared" ca="1" si="13"/>
        <v>418.13264910106676</v>
      </c>
      <c r="I51" s="119">
        <f t="shared" ca="1" si="13"/>
        <v>391.684809031388</v>
      </c>
      <c r="J51" s="119">
        <f t="shared" ca="1" si="13"/>
        <v>151.59709597680376</v>
      </c>
      <c r="K51" s="119">
        <f t="shared" ca="1" si="13"/>
        <v>74.519215376524244</v>
      </c>
    </row>
    <row r="52" spans="2:13" ht="15" outlineLevel="1">
      <c r="B52" s="91"/>
      <c r="D52" s="101"/>
      <c r="E52" s="101"/>
      <c r="F52" s="101"/>
      <c r="G52" s="101"/>
      <c r="H52" s="101"/>
      <c r="I52" s="101"/>
      <c r="J52" s="120"/>
      <c r="K52" s="121"/>
    </row>
    <row r="53" spans="2:13" ht="15" outlineLevel="1">
      <c r="B53" s="91" t="s">
        <v>127</v>
      </c>
      <c r="D53" s="101">
        <v>0</v>
      </c>
      <c r="E53" s="101">
        <v>0</v>
      </c>
      <c r="F53" s="101">
        <v>0</v>
      </c>
      <c r="G53" s="101">
        <v>0</v>
      </c>
      <c r="H53" s="101">
        <f>G53</f>
        <v>0</v>
      </c>
      <c r="I53" s="101">
        <f>H53</f>
        <v>0</v>
      </c>
      <c r="J53" s="101">
        <f>I53</f>
        <v>0</v>
      </c>
      <c r="K53" s="101">
        <f>J53</f>
        <v>0</v>
      </c>
    </row>
    <row r="54" spans="2:13" ht="15">
      <c r="H54" s="122"/>
      <c r="I54" s="122"/>
      <c r="J54" s="120"/>
      <c r="K54" s="121"/>
    </row>
    <row r="55" spans="2:13" ht="21">
      <c r="B55" s="92" t="s">
        <v>103</v>
      </c>
      <c r="C55" s="92"/>
      <c r="D55" s="92"/>
      <c r="E55" s="92"/>
      <c r="F55" s="92"/>
      <c r="G55" s="92"/>
      <c r="H55" s="123"/>
      <c r="I55" s="123"/>
      <c r="J55" s="124"/>
      <c r="K55" s="125"/>
    </row>
    <row r="56" spans="2:13" ht="15" outlineLevel="1">
      <c r="B56" s="97"/>
      <c r="C56" s="97"/>
      <c r="D56" s="97"/>
      <c r="E56" s="97"/>
      <c r="F56" s="97"/>
      <c r="G56" s="97"/>
      <c r="H56" s="121"/>
      <c r="I56" s="121"/>
      <c r="J56" s="126"/>
      <c r="K56" s="121"/>
    </row>
    <row r="57" spans="2:13" ht="15.6" outlineLevel="1" thickBot="1">
      <c r="B57" s="64" t="s">
        <v>90</v>
      </c>
      <c r="C57" s="64"/>
      <c r="D57" s="65" t="str">
        <f>D$7</f>
        <v>2021A</v>
      </c>
      <c r="E57" s="65" t="str">
        <f t="shared" ref="E57:K57" si="14">E$7</f>
        <v>2022A</v>
      </c>
      <c r="F57" s="65" t="str">
        <f t="shared" si="14"/>
        <v>2023A</v>
      </c>
      <c r="G57" s="65" t="str">
        <f t="shared" si="14"/>
        <v>2024A</v>
      </c>
      <c r="H57" s="65" t="str">
        <f t="shared" si="14"/>
        <v>2025E</v>
      </c>
      <c r="I57" s="65" t="str">
        <f t="shared" si="14"/>
        <v>2026E</v>
      </c>
      <c r="J57" s="65" t="str">
        <f t="shared" si="14"/>
        <v>2027E</v>
      </c>
      <c r="K57" s="65" t="str">
        <f t="shared" si="14"/>
        <v>2028E</v>
      </c>
    </row>
    <row r="58" spans="2:13" ht="15" outlineLevel="1">
      <c r="B58" s="64"/>
      <c r="C58" s="64"/>
      <c r="D58" s="127"/>
      <c r="E58" s="127"/>
      <c r="F58" s="127"/>
      <c r="G58" s="127"/>
      <c r="H58" s="121"/>
      <c r="I58" s="121"/>
      <c r="J58" s="120"/>
      <c r="K58" s="121"/>
    </row>
    <row r="59" spans="2:13" ht="15" outlineLevel="1">
      <c r="B59" s="128" t="s">
        <v>128</v>
      </c>
      <c r="C59" s="129"/>
      <c r="D59" s="130"/>
      <c r="E59" s="130"/>
      <c r="F59" s="130"/>
      <c r="G59" s="130"/>
      <c r="H59" s="121"/>
      <c r="I59" s="121"/>
      <c r="J59" s="126"/>
      <c r="K59" s="121"/>
    </row>
    <row r="60" spans="2:13" ht="15" outlineLevel="1">
      <c r="B60" s="130" t="s">
        <v>129</v>
      </c>
      <c r="C60" s="130"/>
      <c r="D60" s="131">
        <v>1450.7</v>
      </c>
      <c r="E60" s="131">
        <v>1481.3</v>
      </c>
      <c r="F60" s="131">
        <v>1947.3</v>
      </c>
      <c r="G60" s="131">
        <v>1621.4</v>
      </c>
      <c r="H60" s="132">
        <f ca="1">H138</f>
        <v>808.10285028177498</v>
      </c>
      <c r="I60" s="132">
        <f ca="1">I138</f>
        <v>108.45345904123133</v>
      </c>
      <c r="J60" s="132">
        <f ca="1">J138</f>
        <v>-822.4460494714757</v>
      </c>
      <c r="K60" s="132">
        <f ca="1">K138</f>
        <v>-1463.9282620259801</v>
      </c>
    </row>
    <row r="61" spans="2:13" ht="15" outlineLevel="1">
      <c r="B61" s="130" t="s">
        <v>130</v>
      </c>
      <c r="C61" s="130"/>
      <c r="D61" s="131">
        <v>375.4</v>
      </c>
      <c r="E61" s="131">
        <v>1096.7</v>
      </c>
      <c r="F61" s="131">
        <v>155.5</v>
      </c>
      <c r="G61" s="131">
        <v>171.6</v>
      </c>
      <c r="H61" s="132">
        <f>G61</f>
        <v>171.6</v>
      </c>
      <c r="I61" s="132">
        <f>H61</f>
        <v>171.6</v>
      </c>
      <c r="J61" s="132">
        <f>I61</f>
        <v>171.6</v>
      </c>
      <c r="K61" s="132">
        <f>J61</f>
        <v>171.6</v>
      </c>
      <c r="L61" s="56" t="s">
        <v>121</v>
      </c>
    </row>
    <row r="62" spans="2:13" ht="15" outlineLevel="1">
      <c r="B62" s="130" t="s">
        <v>131</v>
      </c>
      <c r="C62" s="130"/>
      <c r="D62" s="131">
        <v>474.7</v>
      </c>
      <c r="E62" s="131">
        <v>324.3</v>
      </c>
      <c r="F62" s="131">
        <v>660.8</v>
      </c>
      <c r="G62" s="131">
        <v>1261.8</v>
      </c>
      <c r="H62" s="132">
        <f ca="1">H23/H9*H32</f>
        <v>823.9268219178083</v>
      </c>
      <c r="I62" s="132">
        <f ca="1">I23/I9*I32</f>
        <v>1071.1048684931511</v>
      </c>
      <c r="J62" s="132">
        <f ca="1">J23/J9*J32</f>
        <v>1392.4363290410965</v>
      </c>
      <c r="K62" s="132">
        <f ca="1">K23/K9*K32</f>
        <v>1805.2214156557391</v>
      </c>
    </row>
    <row r="63" spans="2:13" ht="15" outlineLevel="1">
      <c r="B63" s="130" t="s">
        <v>132</v>
      </c>
      <c r="C63" s="130"/>
      <c r="D63" s="131">
        <v>778.4</v>
      </c>
      <c r="E63" s="131">
        <v>735.8</v>
      </c>
      <c r="F63" s="131">
        <v>968.1</v>
      </c>
      <c r="G63" s="131">
        <v>1298.5999999999999</v>
      </c>
      <c r="H63" s="132">
        <f ca="1">H33*H24/H9*-1</f>
        <v>1778.1155635474872</v>
      </c>
      <c r="I63" s="132">
        <f ca="1">I33*I24/I9*-1</f>
        <v>2311.5502326117339</v>
      </c>
      <c r="J63" s="132">
        <f ca="1">J33*J24/J9*-1</f>
        <v>3005.0153023952544</v>
      </c>
      <c r="K63" s="132">
        <f ca="1">K33*K24/K9*-1</f>
        <v>3895.8463414933021</v>
      </c>
      <c r="M63" s="417"/>
    </row>
    <row r="64" spans="2:13" ht="15" outlineLevel="1">
      <c r="B64" s="130" t="s">
        <v>133</v>
      </c>
      <c r="C64" s="130"/>
      <c r="D64" s="131">
        <v>28.2</v>
      </c>
      <c r="E64" s="131">
        <v>43.3</v>
      </c>
      <c r="F64" s="131">
        <v>62.5</v>
      </c>
      <c r="G64" s="131">
        <v>75.3</v>
      </c>
      <c r="H64" s="132">
        <v>70</v>
      </c>
      <c r="I64" s="132">
        <v>70</v>
      </c>
      <c r="J64" s="132">
        <v>70</v>
      </c>
      <c r="K64" s="132">
        <v>70</v>
      </c>
      <c r="L64" s="56" t="s">
        <v>121</v>
      </c>
      <c r="M64" s="417"/>
    </row>
    <row r="65" spans="2:13" ht="15" outlineLevel="1">
      <c r="B65" s="130" t="s">
        <v>134</v>
      </c>
      <c r="C65" s="130"/>
      <c r="D65" s="131" t="s">
        <v>102</v>
      </c>
      <c r="E65" s="131">
        <v>1.032</v>
      </c>
      <c r="F65" s="131">
        <v>8.3000000000000007</v>
      </c>
      <c r="G65" s="131">
        <v>1.4890000000000001</v>
      </c>
      <c r="H65" s="131">
        <v>1.4890000000000001</v>
      </c>
      <c r="I65" s="131">
        <v>1.4890000000000001</v>
      </c>
      <c r="J65" s="131">
        <v>1.4890000000000001</v>
      </c>
      <c r="K65" s="131">
        <v>1.4890000000000001</v>
      </c>
    </row>
    <row r="66" spans="2:13" ht="15" outlineLevel="1">
      <c r="B66" s="130" t="s">
        <v>44</v>
      </c>
      <c r="C66" s="130"/>
      <c r="D66" s="134">
        <v>102.4</v>
      </c>
      <c r="E66" s="134">
        <v>101.6</v>
      </c>
      <c r="F66" s="134">
        <v>107.6</v>
      </c>
      <c r="G66" s="134">
        <v>127.1</v>
      </c>
      <c r="H66" s="134">
        <v>127.1</v>
      </c>
      <c r="I66" s="134">
        <v>127.1</v>
      </c>
      <c r="J66" s="134">
        <v>127.1</v>
      </c>
      <c r="K66" s="134">
        <v>127.1</v>
      </c>
      <c r="L66" s="56" t="s">
        <v>121</v>
      </c>
    </row>
    <row r="67" spans="2:13" ht="15" outlineLevel="1">
      <c r="B67" s="128" t="s">
        <v>135</v>
      </c>
      <c r="C67" s="128"/>
      <c r="D67" s="135">
        <f>SUM(D60:D66)</f>
        <v>3209.7999999999997</v>
      </c>
      <c r="E67" s="135">
        <f t="shared" ref="E67:K67" si="15">SUM(E60:E66)</f>
        <v>3784.0320000000006</v>
      </c>
      <c r="F67" s="135">
        <f t="shared" si="15"/>
        <v>3910.1000000000004</v>
      </c>
      <c r="G67" s="135">
        <f t="shared" si="15"/>
        <v>4557.2889999999998</v>
      </c>
      <c r="H67" s="135">
        <f t="shared" ca="1" si="15"/>
        <v>3780.3342357470701</v>
      </c>
      <c r="I67" s="135">
        <f t="shared" ca="1" si="15"/>
        <v>3861.2975601461162</v>
      </c>
      <c r="J67" s="135">
        <f t="shared" ca="1" si="15"/>
        <v>3945.1945819648754</v>
      </c>
      <c r="K67" s="135">
        <f t="shared" ca="1" si="15"/>
        <v>4607.3284951230607</v>
      </c>
    </row>
    <row r="68" spans="2:13" ht="15" outlineLevel="1">
      <c r="B68" s="130"/>
      <c r="C68" s="130"/>
      <c r="D68" s="130"/>
      <c r="E68" s="130"/>
      <c r="F68" s="130"/>
      <c r="G68" s="130"/>
      <c r="I68" s="132"/>
      <c r="J68" s="132"/>
      <c r="K68" s="132"/>
    </row>
    <row r="69" spans="2:13" ht="15" outlineLevel="1">
      <c r="B69" s="130" t="s">
        <v>136</v>
      </c>
      <c r="C69" s="130"/>
      <c r="D69" s="131">
        <v>4370.3</v>
      </c>
      <c r="E69" s="131">
        <v>5092.8999999999996</v>
      </c>
      <c r="F69" s="131">
        <v>6192.9</v>
      </c>
      <c r="G69" s="131">
        <v>7648.4</v>
      </c>
      <c r="H69" s="136"/>
      <c r="I69"/>
      <c r="J69"/>
      <c r="K69"/>
    </row>
    <row r="70" spans="2:13" ht="15" outlineLevel="1">
      <c r="B70" s="130" t="s">
        <v>137</v>
      </c>
      <c r="C70" s="130"/>
      <c r="D70" s="134">
        <v>-1295.9000000000001</v>
      </c>
      <c r="E70" s="134">
        <v>-1462.8</v>
      </c>
      <c r="F70" s="134">
        <v>-1694.1</v>
      </c>
      <c r="G70" s="134">
        <v>-2091.1999999999998</v>
      </c>
      <c r="H70" s="134"/>
      <c r="I70" s="134"/>
      <c r="J70" s="134"/>
      <c r="K70" s="134"/>
    </row>
    <row r="71" spans="2:13" ht="15" outlineLevel="1">
      <c r="B71" s="128" t="s">
        <v>138</v>
      </c>
      <c r="C71" s="128"/>
      <c r="D71" s="138">
        <f>D69+D70</f>
        <v>3074.4</v>
      </c>
      <c r="E71" s="138">
        <f t="shared" ref="E71:G71" si="16">E69+E70</f>
        <v>3630.0999999999995</v>
      </c>
      <c r="F71" s="138">
        <f t="shared" si="16"/>
        <v>4498.7999999999993</v>
      </c>
      <c r="G71" s="138">
        <f t="shared" si="16"/>
        <v>5557.2</v>
      </c>
      <c r="H71" s="138">
        <f ca="1">H151</f>
        <v>6421.341840000001</v>
      </c>
      <c r="I71" s="138">
        <f ca="1">I151</f>
        <v>7072.4290992000015</v>
      </c>
      <c r="J71" s="138">
        <f ca="1">J151</f>
        <v>7609.8446802960025</v>
      </c>
      <c r="K71" s="138">
        <f ca="1">K151</f>
        <v>7660.1001415336832</v>
      </c>
    </row>
    <row r="72" spans="2:13" ht="15" outlineLevel="1">
      <c r="B72" s="128"/>
      <c r="C72" s="128"/>
      <c r="D72" s="135"/>
      <c r="E72" s="135"/>
      <c r="F72" s="135"/>
      <c r="G72" s="135"/>
      <c r="H72" s="132"/>
      <c r="I72" s="132"/>
      <c r="J72" s="132"/>
      <c r="K72" s="132"/>
      <c r="M72"/>
    </row>
    <row r="73" spans="2:13" ht="15" outlineLevel="1">
      <c r="B73" s="130" t="s">
        <v>139</v>
      </c>
      <c r="C73" s="130"/>
      <c r="D73" s="131">
        <v>986.8</v>
      </c>
      <c r="E73" s="131">
        <v>705.5</v>
      </c>
      <c r="F73" s="131">
        <v>994.6</v>
      </c>
      <c r="G73" s="131">
        <v>1091.9000000000001</v>
      </c>
      <c r="H73" s="131">
        <v>1091.9000000000001</v>
      </c>
      <c r="I73" s="131">
        <v>1091.9000000000001</v>
      </c>
      <c r="J73" s="131">
        <v>1091.9000000000001</v>
      </c>
      <c r="K73" s="131">
        <v>1091.9000000000001</v>
      </c>
      <c r="L73" s="56" t="s">
        <v>121</v>
      </c>
    </row>
    <row r="74" spans="2:13" ht="16.8" outlineLevel="1">
      <c r="B74" s="128" t="s">
        <v>140</v>
      </c>
      <c r="C74" s="128"/>
      <c r="D74" s="139">
        <f t="shared" ref="D74:K74" si="17">SUM(D73:D73,D67)+D71</f>
        <v>7271</v>
      </c>
      <c r="E74" s="139">
        <f t="shared" si="17"/>
        <v>8119.6320000000005</v>
      </c>
      <c r="F74" s="139">
        <f t="shared" si="17"/>
        <v>9403.5</v>
      </c>
      <c r="G74" s="139">
        <f t="shared" si="17"/>
        <v>11206.388999999999</v>
      </c>
      <c r="H74" s="139">
        <f t="shared" ca="1" si="17"/>
        <v>11293.576075747071</v>
      </c>
      <c r="I74" s="139">
        <f t="shared" ca="1" si="17"/>
        <v>12025.626659346119</v>
      </c>
      <c r="J74" s="139">
        <f t="shared" ca="1" si="17"/>
        <v>12646.939262260878</v>
      </c>
      <c r="K74" s="139">
        <f t="shared" ca="1" si="17"/>
        <v>13359.328636656744</v>
      </c>
    </row>
    <row r="75" spans="2:13" ht="15" outlineLevel="1">
      <c r="B75" s="130"/>
      <c r="C75" s="130"/>
      <c r="D75" s="130"/>
      <c r="E75" s="130"/>
      <c r="F75" s="130"/>
      <c r="G75" s="130"/>
      <c r="H75" s="132"/>
      <c r="I75" s="132"/>
      <c r="J75" s="132"/>
      <c r="K75" s="132"/>
    </row>
    <row r="76" spans="2:13" ht="15" outlineLevel="1">
      <c r="B76" s="140" t="s">
        <v>141</v>
      </c>
      <c r="C76" s="141"/>
      <c r="D76" s="142"/>
      <c r="E76" s="142"/>
      <c r="F76" s="142"/>
      <c r="G76" s="142"/>
      <c r="H76" s="132"/>
      <c r="I76" s="132"/>
      <c r="J76" s="132"/>
      <c r="K76" s="132"/>
    </row>
    <row r="77" spans="2:13" ht="15" outlineLevel="1">
      <c r="B77" s="142" t="s">
        <v>46</v>
      </c>
      <c r="C77" s="142"/>
      <c r="D77" s="143">
        <v>193.3</v>
      </c>
      <c r="E77" s="143">
        <v>341.4</v>
      </c>
      <c r="F77" s="143">
        <v>207.2</v>
      </c>
      <c r="G77" s="143">
        <v>482.2</v>
      </c>
      <c r="H77" s="132">
        <f ca="1">H25*H33/365*-1</f>
        <v>314.59024109589046</v>
      </c>
      <c r="I77" s="132">
        <f ca="1">I25*I33/365*-1</f>
        <v>408.96731342465762</v>
      </c>
      <c r="J77" s="132">
        <f ca="1">J25*J33/365*-1</f>
        <v>531.65750745205503</v>
      </c>
      <c r="K77" s="132">
        <f ca="1">K25*K33/365*-1</f>
        <v>691.15475968767169</v>
      </c>
      <c r="M77" s="417"/>
    </row>
    <row r="78" spans="2:13" ht="15" outlineLevel="1">
      <c r="B78" s="142" t="s">
        <v>142</v>
      </c>
      <c r="C78" s="142"/>
      <c r="D78" s="143">
        <v>192.1</v>
      </c>
      <c r="E78" s="143">
        <v>223.3</v>
      </c>
      <c r="F78" s="143">
        <v>308.7</v>
      </c>
      <c r="G78" s="143">
        <v>310.3</v>
      </c>
      <c r="H78" s="132">
        <f ca="1">H33*Assumptions!J109*-1</f>
        <v>39.368721600000008</v>
      </c>
      <c r="I78" s="132">
        <f ca="1">I33*Assumptions!K109*-1</f>
        <v>51.179338080000015</v>
      </c>
      <c r="J78" s="132">
        <f ca="1">J33*Assumptions!L109*-1</f>
        <v>66.533139504000033</v>
      </c>
      <c r="K78" s="132">
        <f ca="1">K33*Assumptions!M109*-1</f>
        <v>86.493081355200061</v>
      </c>
      <c r="M78" s="417"/>
    </row>
    <row r="79" spans="2:13" ht="15" outlineLevel="1">
      <c r="B79" s="142" t="s">
        <v>143</v>
      </c>
      <c r="C79" s="142"/>
      <c r="D79" s="143">
        <v>14.416</v>
      </c>
      <c r="E79" s="143">
        <v>0.159</v>
      </c>
      <c r="F79" s="143">
        <v>68.096999999999994</v>
      </c>
      <c r="G79" s="143">
        <v>90.8</v>
      </c>
      <c r="H79" s="143">
        <v>90.8</v>
      </c>
      <c r="I79" s="143">
        <v>90.8</v>
      </c>
      <c r="J79" s="143">
        <v>90.8</v>
      </c>
      <c r="K79" s="143">
        <v>90.8</v>
      </c>
    </row>
    <row r="80" spans="2:13" ht="15" outlineLevel="1">
      <c r="B80" s="142" t="s">
        <v>144</v>
      </c>
      <c r="C80" s="142"/>
      <c r="D80" s="143">
        <f>188.8+44.9+23.8</f>
        <v>257.5</v>
      </c>
      <c r="E80" s="143">
        <f>27.7+95.9+221.8</f>
        <v>345.40000000000003</v>
      </c>
      <c r="F80" s="143">
        <f>413.6+248</f>
        <v>661.6</v>
      </c>
      <c r="G80" s="143">
        <f>712+145.6</f>
        <v>857.6</v>
      </c>
      <c r="H80" s="143">
        <f>712+145.6</f>
        <v>857.6</v>
      </c>
      <c r="I80" s="143">
        <f>712+145.6</f>
        <v>857.6</v>
      </c>
      <c r="J80" s="143">
        <f>712+145.6</f>
        <v>857.6</v>
      </c>
      <c r="K80" s="143">
        <f>712+145.6</f>
        <v>857.6</v>
      </c>
      <c r="L80" s="322" t="s">
        <v>121</v>
      </c>
    </row>
    <row r="81" spans="2:14" ht="15" outlineLevel="1">
      <c r="B81" s="142" t="s">
        <v>145</v>
      </c>
      <c r="C81" s="142"/>
      <c r="D81" s="143">
        <v>201.1</v>
      </c>
      <c r="E81" s="143">
        <v>263.2</v>
      </c>
      <c r="F81" s="143">
        <v>413.6</v>
      </c>
      <c r="G81" s="143">
        <f>(F81/F32)*G32</f>
        <v>524.23482191285484</v>
      </c>
      <c r="H81" s="143">
        <f t="shared" ref="H81:K81" ca="1" si="18">(G81/G32)*H32</f>
        <v>681.46638365575848</v>
      </c>
      <c r="I81" s="143">
        <f t="shared" ca="1" si="18"/>
        <v>885.90629875248624</v>
      </c>
      <c r="J81" s="143">
        <f t="shared" ca="1" si="18"/>
        <v>1151.6781883782321</v>
      </c>
      <c r="K81" s="143">
        <f t="shared" ca="1" si="18"/>
        <v>1497.181644891702</v>
      </c>
      <c r="L81" s="322" t="s">
        <v>37</v>
      </c>
    </row>
    <row r="82" spans="2:14" ht="15" outlineLevel="1">
      <c r="B82" s="142" t="s">
        <v>146</v>
      </c>
      <c r="C82" s="142"/>
      <c r="D82" s="143" t="s">
        <v>102</v>
      </c>
      <c r="E82" s="143">
        <v>0.51700000000000002</v>
      </c>
      <c r="F82" s="143">
        <v>0.57699999999999996</v>
      </c>
      <c r="G82" s="143">
        <v>2.2240000000000002</v>
      </c>
      <c r="H82" s="143">
        <v>2.2240000000000002</v>
      </c>
      <c r="I82" s="143">
        <v>2.2240000000000002</v>
      </c>
      <c r="J82" s="143">
        <v>2.2240000000000002</v>
      </c>
      <c r="K82" s="143">
        <v>2.2240000000000002</v>
      </c>
      <c r="N82" s="425"/>
    </row>
    <row r="83" spans="2:14" ht="15" outlineLevel="1">
      <c r="B83" s="140" t="s">
        <v>147</v>
      </c>
      <c r="C83" s="140"/>
      <c r="D83" s="426">
        <f>SUM(D77:D82)</f>
        <v>858.41600000000005</v>
      </c>
      <c r="E83" s="426">
        <f t="shared" ref="E83:K83" si="19">SUM(E77:E82)</f>
        <v>1173.9760000000001</v>
      </c>
      <c r="F83" s="426">
        <f t="shared" si="19"/>
        <v>1659.7740000000001</v>
      </c>
      <c r="G83" s="426">
        <f t="shared" si="19"/>
        <v>2267.3588219128551</v>
      </c>
      <c r="H83" s="426">
        <f t="shared" ca="1" si="19"/>
        <v>1986.0493463516489</v>
      </c>
      <c r="I83" s="426">
        <f t="shared" ca="1" si="19"/>
        <v>2296.6769502571442</v>
      </c>
      <c r="J83" s="426">
        <f t="shared" ca="1" si="19"/>
        <v>2700.4928353342875</v>
      </c>
      <c r="K83" s="426">
        <f t="shared" ca="1" si="19"/>
        <v>3225.453485934574</v>
      </c>
    </row>
    <row r="84" spans="2:14" ht="15" outlineLevel="1">
      <c r="B84" s="142"/>
      <c r="C84" s="142"/>
      <c r="D84"/>
      <c r="E84" s="142"/>
      <c r="F84" s="142"/>
      <c r="G84" s="142"/>
      <c r="H84" s="132"/>
      <c r="I84" s="132"/>
      <c r="J84" s="132"/>
      <c r="K84" s="132"/>
    </row>
    <row r="85" spans="2:14" ht="15" outlineLevel="1">
      <c r="B85" s="142" t="s">
        <v>148</v>
      </c>
      <c r="C85" s="142"/>
      <c r="D85" s="143">
        <f>236</f>
        <v>236</v>
      </c>
      <c r="E85" s="143">
        <v>184.3</v>
      </c>
      <c r="F85" s="143">
        <v>464.1</v>
      </c>
      <c r="G85" s="143">
        <v>373.3</v>
      </c>
      <c r="H85" s="441">
        <f>G85-H79</f>
        <v>282.5</v>
      </c>
      <c r="I85" s="441">
        <f>H85-I79</f>
        <v>191.7</v>
      </c>
      <c r="J85" s="441">
        <f>I85-J79</f>
        <v>100.89999999999999</v>
      </c>
      <c r="K85" s="441">
        <f>J85-K79</f>
        <v>10.099999999999994</v>
      </c>
    </row>
    <row r="86" spans="2:14" ht="15" outlineLevel="1">
      <c r="B86" s="142" t="s">
        <v>149</v>
      </c>
      <c r="C86" s="142"/>
      <c r="D86" s="143">
        <v>426.38</v>
      </c>
      <c r="E86" s="143">
        <v>607.16</v>
      </c>
      <c r="F86" s="143">
        <v>389.92</v>
      </c>
      <c r="G86" s="143">
        <v>360.63</v>
      </c>
      <c r="H86" s="143">
        <f t="shared" ref="H86:K86" ca="1" si="20">(G86/G37)*H37</f>
        <v>401.79390220721007</v>
      </c>
      <c r="I86" s="143">
        <f t="shared" ca="1" si="20"/>
        <v>522.33207286937329</v>
      </c>
      <c r="J86" s="143">
        <f t="shared" ca="1" si="20"/>
        <v>679.03169473018534</v>
      </c>
      <c r="K86" s="143">
        <f t="shared" ca="1" si="20"/>
        <v>882.74120314924096</v>
      </c>
      <c r="L86" s="322" t="s">
        <v>150</v>
      </c>
    </row>
    <row r="87" spans="2:14" ht="15" outlineLevel="1">
      <c r="B87" s="142" t="s">
        <v>151</v>
      </c>
      <c r="C87" s="142"/>
      <c r="D87" s="144">
        <v>221.8</v>
      </c>
      <c r="E87" s="144">
        <v>178.5</v>
      </c>
      <c r="F87" s="144">
        <v>219.3</v>
      </c>
      <c r="G87" s="144">
        <v>217.7</v>
      </c>
      <c r="H87" s="144">
        <v>217.7</v>
      </c>
      <c r="I87" s="144">
        <v>217.7</v>
      </c>
      <c r="J87" s="144">
        <v>217.7</v>
      </c>
      <c r="K87" s="144">
        <v>217.7</v>
      </c>
      <c r="M87" s="322"/>
    </row>
    <row r="88" spans="2:14" ht="15" outlineLevel="1">
      <c r="B88" s="140" t="s">
        <v>152</v>
      </c>
      <c r="C88" s="140"/>
      <c r="D88" s="145">
        <f>D85+D83+D87+D86</f>
        <v>1742.596</v>
      </c>
      <c r="E88" s="145">
        <f t="shared" ref="E88:K88" si="21">E85+E83+E87+E86</f>
        <v>2143.9360000000001</v>
      </c>
      <c r="F88" s="145">
        <f t="shared" si="21"/>
        <v>2733.0940000000005</v>
      </c>
      <c r="G88" s="145">
        <f t="shared" si="21"/>
        <v>3218.9888219128552</v>
      </c>
      <c r="H88" s="145">
        <f t="shared" ca="1" si="21"/>
        <v>2888.0432485588585</v>
      </c>
      <c r="I88" s="145">
        <f t="shared" ca="1" si="21"/>
        <v>3228.4090231265172</v>
      </c>
      <c r="J88" s="145">
        <f t="shared" ca="1" si="21"/>
        <v>3698.1245300644728</v>
      </c>
      <c r="K88" s="145">
        <f t="shared" ca="1" si="21"/>
        <v>4335.9946890838146</v>
      </c>
    </row>
    <row r="89" spans="2:14" ht="15" outlineLevel="1">
      <c r="B89" s="146"/>
      <c r="C89" s="146"/>
      <c r="D89" s="146"/>
      <c r="E89" s="146"/>
      <c r="F89" s="146"/>
      <c r="G89" s="146"/>
      <c r="H89" s="132"/>
      <c r="I89" s="132"/>
      <c r="J89" s="132"/>
      <c r="K89" s="132"/>
    </row>
    <row r="90" spans="2:14" ht="15" outlineLevel="1">
      <c r="B90" s="147" t="s">
        <v>153</v>
      </c>
      <c r="C90" s="148"/>
      <c r="D90" s="130"/>
      <c r="E90" s="130"/>
      <c r="F90" s="130"/>
      <c r="G90" s="130"/>
      <c r="H90" s="132"/>
      <c r="I90" s="132"/>
      <c r="J90" s="149"/>
      <c r="K90" s="149"/>
    </row>
    <row r="91" spans="2:14" ht="15" outlineLevel="1">
      <c r="B91" s="130" t="s">
        <v>154</v>
      </c>
      <c r="C91" s="130"/>
      <c r="D91" s="146">
        <v>0.1</v>
      </c>
      <c r="E91" s="146">
        <v>0.1</v>
      </c>
      <c r="F91" s="146">
        <v>0.1</v>
      </c>
      <c r="G91" s="146">
        <v>0.1</v>
      </c>
      <c r="H91" s="146">
        <v>0.1</v>
      </c>
      <c r="I91" s="146">
        <v>0.1</v>
      </c>
      <c r="J91" s="146">
        <v>0.1</v>
      </c>
      <c r="K91" s="146">
        <v>0.1</v>
      </c>
    </row>
    <row r="92" spans="2:14" ht="15" outlineLevel="1">
      <c r="B92" s="130" t="s">
        <v>155</v>
      </c>
      <c r="C92" s="130"/>
      <c r="D92" s="146">
        <v>2871.4</v>
      </c>
      <c r="E92" s="146">
        <v>2887.5</v>
      </c>
      <c r="F92" s="146">
        <v>2890.4</v>
      </c>
      <c r="G92" s="146">
        <v>2898.4</v>
      </c>
      <c r="H92" s="146">
        <v>2898.4</v>
      </c>
      <c r="I92" s="146">
        <v>2898.4</v>
      </c>
      <c r="J92" s="146">
        <v>2898.4</v>
      </c>
      <c r="K92" s="146">
        <v>2898.4</v>
      </c>
    </row>
    <row r="93" spans="2:14" ht="15" outlineLevel="1">
      <c r="B93" s="130" t="s">
        <v>156</v>
      </c>
      <c r="C93" s="130"/>
      <c r="D93" s="146">
        <v>-61.7</v>
      </c>
      <c r="E93" s="146">
        <v>-96.4</v>
      </c>
      <c r="F93" s="146">
        <v>-191.8</v>
      </c>
      <c r="G93" s="146">
        <v>-174.1</v>
      </c>
      <c r="H93" s="146">
        <v>-174.1</v>
      </c>
      <c r="I93" s="146">
        <v>-174.1</v>
      </c>
      <c r="J93" s="146">
        <v>-174.1</v>
      </c>
      <c r="K93" s="146">
        <v>-174.1</v>
      </c>
    </row>
    <row r="94" spans="2:14" ht="15" outlineLevel="1">
      <c r="B94" s="130" t="s">
        <v>157</v>
      </c>
      <c r="C94" s="130"/>
      <c r="D94" s="134">
        <f>2718.5</f>
        <v>2718.5</v>
      </c>
      <c r="E94" s="134">
        <f>3184.5</f>
        <v>3184.5</v>
      </c>
      <c r="F94" s="134">
        <f>3971.71</f>
        <v>3971.71</v>
      </c>
      <c r="G94" s="134">
        <v>5263</v>
      </c>
      <c r="H94" s="137">
        <f ca="1">G94+H51</f>
        <v>5681.1326491010668</v>
      </c>
      <c r="I94" s="137">
        <f ca="1">H94+I51</f>
        <v>6072.8174581324547</v>
      </c>
      <c r="J94" s="137">
        <f ca="1">I94+J51</f>
        <v>6224.4145541092585</v>
      </c>
      <c r="K94" s="137">
        <f ca="1">J94+K51</f>
        <v>6298.9337694857822</v>
      </c>
    </row>
    <row r="95" spans="2:14" ht="15" outlineLevel="1">
      <c r="B95" s="128" t="s">
        <v>158</v>
      </c>
      <c r="C95" s="128"/>
      <c r="D95" s="138">
        <f t="shared" ref="D95:K95" si="22">SUM(D91:D94)</f>
        <v>5528.3</v>
      </c>
      <c r="E95" s="138">
        <f t="shared" si="22"/>
        <v>5975.7</v>
      </c>
      <c r="F95" s="138">
        <f t="shared" si="22"/>
        <v>6670.41</v>
      </c>
      <c r="G95" s="138">
        <f t="shared" si="22"/>
        <v>7987.4</v>
      </c>
      <c r="H95" s="138">
        <f t="shared" ca="1" si="22"/>
        <v>8405.5326491010674</v>
      </c>
      <c r="I95" s="138">
        <f t="shared" ca="1" si="22"/>
        <v>8797.2174581324543</v>
      </c>
      <c r="J95" s="138">
        <f t="shared" ca="1" si="22"/>
        <v>8948.8145541092581</v>
      </c>
      <c r="K95" s="138">
        <f t="shared" ca="1" si="22"/>
        <v>9023.3337694857819</v>
      </c>
    </row>
    <row r="96" spans="2:14" ht="15" outlineLevel="1">
      <c r="B96" s="130"/>
      <c r="C96" s="130"/>
      <c r="D96" s="150"/>
      <c r="E96" s="150"/>
      <c r="F96" s="150"/>
      <c r="G96" s="150"/>
      <c r="H96" s="137"/>
      <c r="I96" s="137"/>
      <c r="J96" s="151"/>
      <c r="K96" s="151"/>
    </row>
    <row r="97" spans="2:12" ht="16.8" outlineLevel="1">
      <c r="B97" s="128" t="s">
        <v>159</v>
      </c>
      <c r="C97" s="128"/>
      <c r="D97" s="139">
        <f>D95+D88</f>
        <v>7270.8960000000006</v>
      </c>
      <c r="E97" s="139">
        <f t="shared" ref="E97:K97" si="23">E95+E88</f>
        <v>8119.6360000000004</v>
      </c>
      <c r="F97" s="139">
        <f t="shared" si="23"/>
        <v>9403.5040000000008</v>
      </c>
      <c r="G97" s="139">
        <f t="shared" si="23"/>
        <v>11206.388821912855</v>
      </c>
      <c r="H97" s="139">
        <f ca="1">H95+H88</f>
        <v>11293.575897659926</v>
      </c>
      <c r="I97" s="139">
        <f ca="1">I95+I88</f>
        <v>12025.626481258972</v>
      </c>
      <c r="J97" s="139">
        <f t="shared" ca="1" si="23"/>
        <v>12646.939084173731</v>
      </c>
      <c r="K97" s="139">
        <f t="shared" ca="1" si="23"/>
        <v>13359.328458569596</v>
      </c>
    </row>
    <row r="98" spans="2:12" ht="15" outlineLevel="1">
      <c r="B98" s="128"/>
      <c r="C98" s="128"/>
      <c r="D98" s="152">
        <f>D97-D74</f>
        <v>-0.10399999999935972</v>
      </c>
      <c r="E98" s="152">
        <f t="shared" ref="E98:F98" si="24">E97-E74</f>
        <v>3.9999999999054126E-3</v>
      </c>
      <c r="F98" s="152">
        <f t="shared" si="24"/>
        <v>4.0000000008149073E-3</v>
      </c>
      <c r="G98" s="152">
        <f>G97-G74</f>
        <v>-1.780871443770593E-4</v>
      </c>
      <c r="H98" s="152">
        <f ca="1">H97-H74</f>
        <v>-1.780871443770593E-4</v>
      </c>
      <c r="I98" s="152">
        <f ca="1">I97-I74</f>
        <v>-1.7808714619604871E-4</v>
      </c>
      <c r="J98" s="152">
        <f ca="1">J97-J74</f>
        <v>-1.7808714619604871E-4</v>
      </c>
      <c r="K98" s="152">
        <f ca="1">K97-K74</f>
        <v>-1.7808714801503811E-4</v>
      </c>
    </row>
    <row r="99" spans="2:12">
      <c r="H99" s="122"/>
      <c r="I99" s="122"/>
      <c r="J99" s="122"/>
      <c r="K99" s="122"/>
    </row>
    <row r="100" spans="2:12" ht="21">
      <c r="B100" s="153" t="s">
        <v>160</v>
      </c>
      <c r="C100" s="153"/>
      <c r="D100" s="153"/>
      <c r="E100" s="153"/>
      <c r="F100" s="153"/>
      <c r="G100" s="154"/>
      <c r="H100" s="155"/>
      <c r="I100" s="156"/>
      <c r="J100" s="156"/>
      <c r="K100" s="157"/>
    </row>
    <row r="101" spans="2:12" ht="15" outlineLevel="1">
      <c r="B101" s="158"/>
      <c r="C101" s="158"/>
      <c r="D101" s="158"/>
      <c r="E101" s="158"/>
      <c r="F101" s="158"/>
      <c r="G101" s="159"/>
      <c r="H101" s="160"/>
      <c r="I101" s="161"/>
      <c r="J101" s="161"/>
      <c r="K101" s="122"/>
    </row>
    <row r="102" spans="2:12" ht="15.6" outlineLevel="1" thickBot="1">
      <c r="B102" s="162" t="s">
        <v>90</v>
      </c>
      <c r="D102" s="65" t="str">
        <f>D$7</f>
        <v>2021A</v>
      </c>
      <c r="E102" s="65" t="str">
        <f t="shared" ref="E102:K102" si="25">E$7</f>
        <v>2022A</v>
      </c>
      <c r="F102" s="65" t="str">
        <f t="shared" si="25"/>
        <v>2023A</v>
      </c>
      <c r="G102" s="65" t="str">
        <f t="shared" si="25"/>
        <v>2024A</v>
      </c>
      <c r="H102" s="65" t="str">
        <f t="shared" si="25"/>
        <v>2025E</v>
      </c>
      <c r="I102" s="65" t="str">
        <f t="shared" si="25"/>
        <v>2026E</v>
      </c>
      <c r="J102" s="65" t="str">
        <f t="shared" si="25"/>
        <v>2027E</v>
      </c>
      <c r="K102" s="65" t="str">
        <f t="shared" si="25"/>
        <v>2028E</v>
      </c>
    </row>
    <row r="103" spans="2:12" ht="15" outlineLevel="1">
      <c r="B103" s="112" t="s">
        <v>161</v>
      </c>
      <c r="D103" s="109"/>
      <c r="E103" s="109"/>
      <c r="F103" s="109"/>
      <c r="G103" s="109"/>
      <c r="H103" s="121"/>
      <c r="I103" s="121"/>
      <c r="J103" s="121"/>
      <c r="K103" s="122"/>
    </row>
    <row r="104" spans="2:12" ht="15" outlineLevel="1">
      <c r="B104" s="163" t="s">
        <v>162</v>
      </c>
      <c r="D104" s="109"/>
      <c r="E104" s="109"/>
      <c r="F104" s="109"/>
      <c r="G104" s="109"/>
      <c r="H104" s="121"/>
      <c r="I104" s="121"/>
      <c r="J104" s="121"/>
      <c r="K104" s="122"/>
    </row>
    <row r="105" spans="2:12" ht="15" outlineLevel="1">
      <c r="B105" s="112" t="s">
        <v>126</v>
      </c>
      <c r="D105" s="164">
        <f t="shared" ref="D105:K105" si="26">D51</f>
        <v>468.70299999999997</v>
      </c>
      <c r="E105" s="164">
        <f t="shared" si="26"/>
        <v>-44.199999999999989</v>
      </c>
      <c r="F105" s="164">
        <f t="shared" si="26"/>
        <v>830.63999999999987</v>
      </c>
      <c r="G105" s="164">
        <f t="shared" si="26"/>
        <v>1291.6649152052073</v>
      </c>
      <c r="H105" s="164">
        <f t="shared" ca="1" si="26"/>
        <v>418.13264910106676</v>
      </c>
      <c r="I105" s="164">
        <f t="shared" ca="1" si="26"/>
        <v>391.684809031388</v>
      </c>
      <c r="J105" s="164">
        <f t="shared" ca="1" si="26"/>
        <v>151.59709597680376</v>
      </c>
      <c r="K105" s="164">
        <f t="shared" ca="1" si="26"/>
        <v>74.519215376524244</v>
      </c>
      <c r="L105"/>
    </row>
    <row r="106" spans="2:12" ht="15" outlineLevel="1">
      <c r="B106" s="109" t="s">
        <v>163</v>
      </c>
      <c r="D106" s="165">
        <f t="shared" ref="D106:K106" si="27">D38</f>
        <v>243.6</v>
      </c>
      <c r="E106" s="165">
        <f t="shared" si="27"/>
        <v>253.3</v>
      </c>
      <c r="F106" s="165">
        <f t="shared" si="27"/>
        <v>292</v>
      </c>
      <c r="G106" s="165">
        <f t="shared" si="27"/>
        <v>407.2</v>
      </c>
      <c r="H106" s="165">
        <f t="shared" ca="1" si="27"/>
        <v>666.86399999999992</v>
      </c>
      <c r="I106" s="165">
        <f t="shared" ca="1" si="27"/>
        <v>770.56102080000005</v>
      </c>
      <c r="J106" s="165">
        <f t="shared" ca="1" si="27"/>
        <v>848.69149190400015</v>
      </c>
      <c r="K106" s="165">
        <f t="shared" ca="1" si="27"/>
        <v>913.18136163552026</v>
      </c>
    </row>
    <row r="107" spans="2:12" ht="15" outlineLevel="1">
      <c r="B107" s="109"/>
      <c r="D107" s="166"/>
      <c r="E107" s="166"/>
      <c r="F107" s="166"/>
      <c r="G107" s="166"/>
      <c r="H107" s="132"/>
      <c r="I107" s="132"/>
      <c r="J107" s="132"/>
      <c r="K107" s="149"/>
    </row>
    <row r="108" spans="2:12" ht="15" outlineLevel="1">
      <c r="B108" s="109" t="s">
        <v>164</v>
      </c>
      <c r="D108" s="165">
        <v>118.724</v>
      </c>
      <c r="E108" s="165">
        <v>118.7</v>
      </c>
      <c r="F108" s="165">
        <v>-304.2</v>
      </c>
      <c r="G108" s="167">
        <f>G62-F62</f>
        <v>601</v>
      </c>
      <c r="H108" s="167">
        <f t="shared" ref="H108:K110" ca="1" si="28">-H62+G62</f>
        <v>437.87317808219166</v>
      </c>
      <c r="I108" s="167">
        <f t="shared" ca="1" si="28"/>
        <v>-247.17804657534282</v>
      </c>
      <c r="J108" s="167">
        <f t="shared" ca="1" si="28"/>
        <v>-321.33146054794543</v>
      </c>
      <c r="K108" s="167">
        <f t="shared" ca="1" si="28"/>
        <v>-412.78508661464252</v>
      </c>
      <c r="L108" s="417"/>
    </row>
    <row r="109" spans="2:12" ht="15" outlineLevel="1">
      <c r="B109" s="109" t="s">
        <v>435</v>
      </c>
      <c r="D109" s="165">
        <v>16.690000000000001</v>
      </c>
      <c r="E109" s="165">
        <v>16.7</v>
      </c>
      <c r="F109" s="165">
        <v>-205.1</v>
      </c>
      <c r="G109" s="165">
        <v>-276.8</v>
      </c>
      <c r="H109" s="132">
        <f t="shared" ca="1" si="28"/>
        <v>-479.51556354748732</v>
      </c>
      <c r="I109" s="132">
        <f t="shared" ca="1" si="28"/>
        <v>-533.43466906424669</v>
      </c>
      <c r="J109" s="132">
        <f t="shared" ca="1" si="28"/>
        <v>-693.46506978352045</v>
      </c>
      <c r="K109" s="132">
        <f t="shared" ca="1" si="28"/>
        <v>-890.83103909804777</v>
      </c>
    </row>
    <row r="110" spans="2:12" ht="15" outlineLevel="1">
      <c r="B110" s="109" t="s">
        <v>165</v>
      </c>
      <c r="D110" s="322" t="s">
        <v>102</v>
      </c>
      <c r="E110" s="322" t="s">
        <v>102</v>
      </c>
      <c r="F110" s="165">
        <v>-659.75</v>
      </c>
      <c r="G110" s="165">
        <v>270.3</v>
      </c>
      <c r="H110" s="132">
        <f t="shared" si="28"/>
        <v>5.2999999999999972</v>
      </c>
      <c r="I110" s="132">
        <f t="shared" si="28"/>
        <v>0</v>
      </c>
      <c r="J110" s="132">
        <f t="shared" si="28"/>
        <v>0</v>
      </c>
      <c r="K110" s="132">
        <f t="shared" si="28"/>
        <v>0</v>
      </c>
    </row>
    <row r="111" spans="2:12" ht="15" outlineLevel="1">
      <c r="B111" s="109" t="s">
        <v>166</v>
      </c>
      <c r="D111" s="165">
        <v>49</v>
      </c>
      <c r="E111" s="165">
        <v>5.6</v>
      </c>
      <c r="F111" s="165">
        <v>79.3</v>
      </c>
      <c r="G111" s="165">
        <v>268.7</v>
      </c>
      <c r="H111" s="132">
        <f ca="1">H77-G77</f>
        <v>-167.60975890410953</v>
      </c>
      <c r="I111" s="132">
        <f ca="1">I77-H77</f>
        <v>94.377072328767156</v>
      </c>
      <c r="J111" s="132">
        <f ca="1">J77-I77</f>
        <v>122.69019402739741</v>
      </c>
      <c r="K111" s="132">
        <f ca="1">K77-J77</f>
        <v>159.49725223561666</v>
      </c>
    </row>
    <row r="112" spans="2:12" ht="15" outlineLevel="1">
      <c r="B112" s="109" t="s">
        <v>167</v>
      </c>
      <c r="D112" s="165">
        <v>912.9</v>
      </c>
      <c r="E112" s="165">
        <v>783.2</v>
      </c>
      <c r="F112" s="165">
        <v>912.9</v>
      </c>
      <c r="G112" s="165">
        <v>0.7</v>
      </c>
      <c r="H112" s="132">
        <f ca="1">H86-G86+H81-G81</f>
        <v>198.39546395011371</v>
      </c>
      <c r="I112" s="132">
        <f ca="1">I86-H86+I81-H81</f>
        <v>324.97808575889098</v>
      </c>
      <c r="J112" s="132">
        <f ca="1">J86-I86+J81-I81</f>
        <v>422.47151148655803</v>
      </c>
      <c r="K112" s="132">
        <f ca="1">K86-J86+K81-J81</f>
        <v>549.21296493252544</v>
      </c>
    </row>
    <row r="113" spans="2:12" ht="15" outlineLevel="1">
      <c r="B113" s="109" t="s">
        <v>168</v>
      </c>
      <c r="D113" s="165">
        <v>-86.6</v>
      </c>
      <c r="E113" s="165">
        <v>165</v>
      </c>
      <c r="F113" s="165">
        <v>223</v>
      </c>
      <c r="G113" s="165">
        <v>371.9</v>
      </c>
      <c r="H113" s="132">
        <f ca="1">H78-G78</f>
        <v>-270.9312784</v>
      </c>
      <c r="I113" s="132">
        <f ca="1">I78-H78</f>
        <v>11.810616480000007</v>
      </c>
      <c r="J113" s="132">
        <f ca="1">J78-I78</f>
        <v>15.353801424000018</v>
      </c>
      <c r="K113" s="132">
        <f ca="1">K78-J78</f>
        <v>19.959941851200028</v>
      </c>
    </row>
    <row r="114" spans="2:12" ht="15" outlineLevel="1">
      <c r="B114" s="109" t="s">
        <v>169</v>
      </c>
      <c r="D114" s="168">
        <f>-186.4-253.511-145.281-188</f>
        <v>-773.19200000000001</v>
      </c>
      <c r="E114" s="168">
        <v>-215.7</v>
      </c>
      <c r="F114" s="168">
        <v>556.6</v>
      </c>
      <c r="G114" s="168">
        <v>-17.8</v>
      </c>
      <c r="H114" s="137">
        <f>-H66+G66</f>
        <v>0</v>
      </c>
      <c r="I114" s="137">
        <f>-I66+H66</f>
        <v>0</v>
      </c>
      <c r="J114" s="137">
        <f>-J66+I66</f>
        <v>0</v>
      </c>
      <c r="K114" s="137">
        <f>-K66+J66</f>
        <v>0</v>
      </c>
      <c r="L114" s="443" t="s">
        <v>170</v>
      </c>
    </row>
    <row r="115" spans="2:12" ht="15" outlineLevel="1">
      <c r="B115" s="112" t="s">
        <v>171</v>
      </c>
      <c r="D115" s="164">
        <f>SUM(D108:D114)</f>
        <v>237.52200000000005</v>
      </c>
      <c r="E115" s="164">
        <f>SUM(E108:E114)</f>
        <v>873.5</v>
      </c>
      <c r="F115" s="164">
        <f>SUM(F108:F114)</f>
        <v>602.75</v>
      </c>
      <c r="G115" s="164">
        <f>SUM(G108:G114)</f>
        <v>1218.0000000000002</v>
      </c>
      <c r="H115" s="444">
        <f ca="1">SUM(H105:H114)</f>
        <v>808.5086902817751</v>
      </c>
      <c r="I115" s="444">
        <f ca="1">SUM(I105:I114)</f>
        <v>812.79888875945687</v>
      </c>
      <c r="J115" s="444">
        <f ca="1">SUM(J105:J114)</f>
        <v>546.00756448729351</v>
      </c>
      <c r="K115" s="444">
        <f ca="1">SUM(K105:K114)</f>
        <v>412.75461031869634</v>
      </c>
    </row>
    <row r="116" spans="2:12" ht="15" outlineLevel="1">
      <c r="B116" s="109"/>
      <c r="D116" s="166"/>
      <c r="E116" s="166"/>
      <c r="F116" s="166"/>
      <c r="G116" s="166"/>
      <c r="H116" s="132"/>
      <c r="I116" s="132"/>
      <c r="J116" s="132"/>
      <c r="K116" s="149"/>
    </row>
    <row r="117" spans="2:12" ht="15" outlineLevel="1">
      <c r="B117" s="163" t="s">
        <v>172</v>
      </c>
      <c r="D117" s="166"/>
      <c r="E117" s="166"/>
      <c r="F117" s="166"/>
      <c r="G117" s="166"/>
      <c r="H117" s="132"/>
      <c r="I117" s="132"/>
      <c r="J117" s="132"/>
      <c r="K117" s="149"/>
    </row>
    <row r="118" spans="2:12" ht="15" outlineLevel="1">
      <c r="B118" s="109" t="s">
        <v>173</v>
      </c>
      <c r="D118" s="165">
        <v>-540.29999999999995</v>
      </c>
      <c r="E118" s="165">
        <v>-903.6</v>
      </c>
      <c r="F118" s="165">
        <v>-1386.3</v>
      </c>
      <c r="G118" s="165">
        <f>-1526</f>
        <v>-1526</v>
      </c>
      <c r="H118" s="132">
        <f ca="1">-H146</f>
        <v>-1531.0058400000003</v>
      </c>
      <c r="I118" s="132">
        <f ca="1">-I146</f>
        <v>-1421.6482800000006</v>
      </c>
      <c r="J118" s="132">
        <f ca="1">-J146</f>
        <v>-1386.1070730000006</v>
      </c>
      <c r="K118" s="132">
        <f ca="1">-K146</f>
        <v>-963.43682287320064</v>
      </c>
      <c r="L118" s="56" t="s">
        <v>174</v>
      </c>
    </row>
    <row r="119" spans="2:12" ht="15" outlineLevel="1">
      <c r="B119" s="109" t="s">
        <v>175</v>
      </c>
      <c r="D119" s="168">
        <f>300.5+147.5</f>
        <v>448</v>
      </c>
      <c r="E119" s="168">
        <f>442.3-728.3</f>
        <v>-285.99999999999994</v>
      </c>
      <c r="F119" s="168">
        <f>7.7+9515.1</f>
        <v>9522.8000000000011</v>
      </c>
      <c r="G119" s="168">
        <f>-24.2</f>
        <v>-24.2</v>
      </c>
      <c r="H119" s="137">
        <v>0</v>
      </c>
      <c r="I119" s="137">
        <v>0</v>
      </c>
      <c r="J119" s="137">
        <v>0</v>
      </c>
      <c r="K119" s="137">
        <v>0</v>
      </c>
    </row>
    <row r="120" spans="2:12" ht="15" outlineLevel="1">
      <c r="B120" s="112" t="s">
        <v>176</v>
      </c>
      <c r="D120" s="164">
        <v>-7.4569999999999999</v>
      </c>
      <c r="E120" s="164">
        <v>85.091999999999999</v>
      </c>
      <c r="F120" s="164">
        <v>114.129</v>
      </c>
      <c r="G120" s="164">
        <v>-30.234999999999999</v>
      </c>
      <c r="H120" s="138">
        <f ca="1">SUM(H118:H119)</f>
        <v>-1531.0058400000003</v>
      </c>
      <c r="I120" s="138">
        <f t="shared" ref="I120:K120" ca="1" si="29">SUM(I118:I119)</f>
        <v>-1421.6482800000006</v>
      </c>
      <c r="J120" s="138">
        <f t="shared" ca="1" si="29"/>
        <v>-1386.1070730000006</v>
      </c>
      <c r="K120" s="138">
        <f t="shared" ca="1" si="29"/>
        <v>-963.43682287320064</v>
      </c>
    </row>
    <row r="121" spans="2:12" ht="15" outlineLevel="1">
      <c r="B121" s="112"/>
      <c r="D121" s="164"/>
      <c r="E121" s="164"/>
      <c r="F121" s="164"/>
      <c r="G121" s="164"/>
      <c r="H121" s="132"/>
      <c r="I121" s="132"/>
      <c r="J121" s="132"/>
      <c r="K121" s="149"/>
    </row>
    <row r="122" spans="2:12" ht="15" outlineLevel="1">
      <c r="B122" s="112" t="s">
        <v>177</v>
      </c>
      <c r="D122" s="166"/>
      <c r="E122" s="166"/>
      <c r="F122" s="166"/>
      <c r="G122" s="166"/>
      <c r="H122" s="132"/>
      <c r="I122" s="132"/>
      <c r="J122" s="132"/>
      <c r="K122" s="149"/>
    </row>
    <row r="123" spans="2:12" ht="15" outlineLevel="1">
      <c r="B123" s="109" t="s">
        <v>178</v>
      </c>
      <c r="D123" s="165">
        <v>129.19999999999999</v>
      </c>
      <c r="E123" s="165">
        <v>397.4</v>
      </c>
      <c r="F123" s="165">
        <v>368</v>
      </c>
      <c r="G123" s="165">
        <v>258.5</v>
      </c>
      <c r="H123"/>
      <c r="I123"/>
      <c r="J123"/>
      <c r="K123"/>
    </row>
    <row r="124" spans="2:12" ht="15" outlineLevel="1">
      <c r="B124" s="109" t="s">
        <v>179</v>
      </c>
      <c r="D124" s="168">
        <v>-72.7</v>
      </c>
      <c r="E124" s="168">
        <v>-75.900000000000006</v>
      </c>
      <c r="F124" s="168" t="s">
        <v>102</v>
      </c>
      <c r="G124" s="168">
        <v>-205.8</v>
      </c>
      <c r="H124" s="168"/>
      <c r="I124" s="168"/>
      <c r="J124" s="168"/>
      <c r="K124" s="168"/>
    </row>
    <row r="125" spans="2:12" ht="15" outlineLevel="1">
      <c r="B125" s="60" t="s">
        <v>180</v>
      </c>
      <c r="D125" s="165">
        <f>SUM(D123:D124)</f>
        <v>56.499999999999986</v>
      </c>
      <c r="E125" s="165">
        <f t="shared" ref="E125:G125" si="30">SUM(E123:E124)</f>
        <v>321.5</v>
      </c>
      <c r="F125" s="165">
        <f t="shared" si="30"/>
        <v>368</v>
      </c>
      <c r="G125" s="165">
        <f t="shared" si="30"/>
        <v>52.699999999999989</v>
      </c>
      <c r="H125" s="165">
        <f>-G79</f>
        <v>-90.8</v>
      </c>
      <c r="I125" s="165">
        <f>-H79</f>
        <v>-90.8</v>
      </c>
      <c r="J125" s="165">
        <f>-I79</f>
        <v>-90.8</v>
      </c>
      <c r="K125" s="165">
        <f>-J79</f>
        <v>-90.8</v>
      </c>
      <c r="L125" s="56" t="s">
        <v>181</v>
      </c>
    </row>
    <row r="126" spans="2:12" ht="15" outlineLevel="1">
      <c r="B126" s="109"/>
      <c r="D126" s="166"/>
      <c r="E126" s="166"/>
      <c r="F126" s="166"/>
      <c r="G126" s="166"/>
      <c r="H126" s="132"/>
      <c r="I126" s="132"/>
      <c r="J126" s="132"/>
      <c r="K126" s="149"/>
    </row>
    <row r="127" spans="2:12" ht="15" outlineLevel="1">
      <c r="B127" s="109" t="s">
        <v>182</v>
      </c>
      <c r="D127" s="133" t="s">
        <v>102</v>
      </c>
      <c r="E127" s="133" t="s">
        <v>102</v>
      </c>
      <c r="F127" s="133" t="s">
        <v>102</v>
      </c>
      <c r="G127" s="133" t="s">
        <v>102</v>
      </c>
      <c r="H127" s="133" t="s">
        <v>102</v>
      </c>
      <c r="I127" s="133" t="s">
        <v>102</v>
      </c>
      <c r="J127" s="133" t="s">
        <v>102</v>
      </c>
      <c r="K127" s="133" t="s">
        <v>102</v>
      </c>
    </row>
    <row r="128" spans="2:12" ht="15" outlineLevel="1">
      <c r="B128" s="109" t="s">
        <v>183</v>
      </c>
      <c r="D128" s="168">
        <v>-16</v>
      </c>
      <c r="E128" s="168">
        <v>-12.1</v>
      </c>
      <c r="F128" s="168">
        <v>-31.1</v>
      </c>
      <c r="G128" s="168">
        <v>-20.2</v>
      </c>
      <c r="H128" s="132">
        <f>H91-G91</f>
        <v>0</v>
      </c>
      <c r="I128" s="132">
        <f>I91-H91</f>
        <v>0</v>
      </c>
      <c r="J128" s="132">
        <f>J91-I91</f>
        <v>0</v>
      </c>
      <c r="K128" s="132">
        <f>K91-J91</f>
        <v>0</v>
      </c>
    </row>
    <row r="129" spans="2:11" ht="15" outlineLevel="1">
      <c r="B129" s="60" t="s">
        <v>184</v>
      </c>
      <c r="D129" s="165">
        <f>SUM(D127:D128)</f>
        <v>-16</v>
      </c>
      <c r="E129" s="165">
        <f t="shared" ref="E129:G129" si="31">SUM(E127:E128)</f>
        <v>-12.1</v>
      </c>
      <c r="F129" s="165">
        <f t="shared" si="31"/>
        <v>-31.1</v>
      </c>
      <c r="G129" s="165">
        <f t="shared" si="31"/>
        <v>-20.2</v>
      </c>
      <c r="H129" s="169">
        <f>H91-G91</f>
        <v>0</v>
      </c>
      <c r="I129" s="169">
        <f>I91-H91</f>
        <v>0</v>
      </c>
      <c r="J129" s="169">
        <f>J91-I91</f>
        <v>0</v>
      </c>
      <c r="K129" s="169">
        <f>K91-J91</f>
        <v>0</v>
      </c>
    </row>
    <row r="130" spans="2:11" ht="15" outlineLevel="1">
      <c r="B130" s="109"/>
      <c r="D130" s="166"/>
      <c r="E130" s="166"/>
      <c r="F130" s="166"/>
      <c r="G130" s="166"/>
      <c r="H130" s="132"/>
      <c r="I130" s="132"/>
      <c r="J130" s="132"/>
      <c r="K130" s="149"/>
    </row>
    <row r="131" spans="2:11" ht="15" outlineLevel="1">
      <c r="B131" s="109" t="s">
        <v>185</v>
      </c>
      <c r="D131" s="165" t="s">
        <v>102</v>
      </c>
      <c r="E131" s="165" t="s">
        <v>102</v>
      </c>
      <c r="F131" s="164" t="s">
        <v>102</v>
      </c>
      <c r="G131" s="164" t="s">
        <v>102</v>
      </c>
      <c r="H131" s="133" t="s">
        <v>102</v>
      </c>
      <c r="I131" s="133" t="s">
        <v>102</v>
      </c>
      <c r="J131" s="133" t="s">
        <v>102</v>
      </c>
      <c r="K131" s="133" t="s">
        <v>102</v>
      </c>
    </row>
    <row r="132" spans="2:11" ht="15" outlineLevel="1">
      <c r="B132" s="109" t="s">
        <v>186</v>
      </c>
      <c r="D132" s="168"/>
      <c r="E132" s="168"/>
      <c r="F132" s="168">
        <v>-7.6</v>
      </c>
      <c r="G132" s="168">
        <v>-0.6</v>
      </c>
      <c r="H132" s="321">
        <v>0</v>
      </c>
      <c r="I132" s="321">
        <v>0</v>
      </c>
      <c r="J132" s="321">
        <v>0</v>
      </c>
      <c r="K132" s="321">
        <v>0</v>
      </c>
    </row>
    <row r="133" spans="2:11" ht="15" outlineLevel="1">
      <c r="B133" s="59" t="s">
        <v>187</v>
      </c>
      <c r="D133" s="164">
        <f>D129+D125</f>
        <v>40.499999999999986</v>
      </c>
      <c r="E133" s="164">
        <f t="shared" ref="E133:K133" si="32">E129+E125</f>
        <v>309.39999999999998</v>
      </c>
      <c r="F133" s="164">
        <f t="shared" si="32"/>
        <v>336.9</v>
      </c>
      <c r="G133" s="164">
        <f t="shared" si="32"/>
        <v>32.499999999999986</v>
      </c>
      <c r="H133" s="164">
        <f t="shared" si="32"/>
        <v>-90.8</v>
      </c>
      <c r="I133" s="164">
        <f t="shared" si="32"/>
        <v>-90.8</v>
      </c>
      <c r="J133" s="164">
        <f t="shared" si="32"/>
        <v>-90.8</v>
      </c>
      <c r="K133" s="164">
        <f t="shared" si="32"/>
        <v>-90.8</v>
      </c>
    </row>
    <row r="134" spans="2:11" ht="15" outlineLevel="1">
      <c r="B134" s="109"/>
      <c r="D134" s="170"/>
      <c r="E134" s="170"/>
      <c r="F134" s="170"/>
      <c r="G134" s="170"/>
      <c r="H134" s="137"/>
      <c r="I134" s="137"/>
      <c r="J134" s="137"/>
      <c r="K134" s="151"/>
    </row>
    <row r="135" spans="2:11" outlineLevel="1"/>
    <row r="136" spans="2:11" ht="15">
      <c r="B136" s="109" t="s">
        <v>188</v>
      </c>
      <c r="H136" s="165">
        <f>G138</f>
        <v>1621.4</v>
      </c>
      <c r="I136" s="165">
        <f ca="1">H138</f>
        <v>808.10285028177498</v>
      </c>
      <c r="J136" s="165">
        <f ca="1">I138</f>
        <v>108.45345904123133</v>
      </c>
      <c r="K136" s="165">
        <f ca="1">J138</f>
        <v>-822.4460494714757</v>
      </c>
    </row>
    <row r="137" spans="2:11" ht="15">
      <c r="B137" s="112" t="s">
        <v>189</v>
      </c>
      <c r="D137" s="171">
        <f t="shared" ref="D137:K137" si="33">SUM(D133,D120,D115)</f>
        <v>270.56500000000005</v>
      </c>
      <c r="E137" s="171">
        <f t="shared" si="33"/>
        <v>1267.992</v>
      </c>
      <c r="F137" s="171">
        <f t="shared" si="33"/>
        <v>1053.779</v>
      </c>
      <c r="G137" s="171">
        <f t="shared" si="33"/>
        <v>1220.2650000000003</v>
      </c>
      <c r="H137" s="171">
        <f t="shared" ca="1" si="33"/>
        <v>-813.29714971822511</v>
      </c>
      <c r="I137" s="171">
        <f t="shared" ca="1" si="33"/>
        <v>-699.64939124054365</v>
      </c>
      <c r="J137" s="171">
        <f t="shared" ca="1" si="33"/>
        <v>-930.89950851270703</v>
      </c>
      <c r="K137" s="171">
        <f t="shared" ca="1" si="33"/>
        <v>-641.48221255450437</v>
      </c>
    </row>
    <row r="138" spans="2:11" ht="15">
      <c r="B138" s="109" t="s">
        <v>190</v>
      </c>
      <c r="G138" s="318">
        <f>G60</f>
        <v>1621.4</v>
      </c>
      <c r="H138" s="168">
        <f ca="1">SUM(H136:H137)</f>
        <v>808.10285028177498</v>
      </c>
      <c r="I138" s="168">
        <f ca="1">SUM(I136:I137)</f>
        <v>108.45345904123133</v>
      </c>
      <c r="J138" s="168">
        <f ca="1">SUM(J136:J137)</f>
        <v>-822.4460494714757</v>
      </c>
      <c r="K138" s="168">
        <f ca="1">SUM(K136:K137)</f>
        <v>-1463.9282620259801</v>
      </c>
    </row>
    <row r="139" spans="2:11">
      <c r="K139"/>
    </row>
    <row r="141" spans="2:11" ht="21">
      <c r="B141" s="153" t="s">
        <v>191</v>
      </c>
      <c r="C141" s="153"/>
      <c r="D141" s="153"/>
      <c r="E141" s="153"/>
      <c r="F141" s="153"/>
      <c r="G141" s="418"/>
      <c r="H141" s="419"/>
      <c r="I141" s="123"/>
      <c r="J141" s="123"/>
      <c r="K141" s="420"/>
    </row>
    <row r="142" spans="2:11" ht="15">
      <c r="B142" s="158"/>
      <c r="C142" s="158"/>
      <c r="D142" s="158"/>
      <c r="E142" s="158"/>
      <c r="F142" s="158"/>
      <c r="G142" s="421"/>
      <c r="H142" s="422"/>
      <c r="I142" s="423"/>
      <c r="J142" s="423"/>
      <c r="K142" s="424"/>
    </row>
    <row r="143" spans="2:11" ht="15.6" thickBot="1">
      <c r="B143" s="162" t="s">
        <v>90</v>
      </c>
      <c r="D143" s="65" t="s">
        <v>21</v>
      </c>
      <c r="E143" s="65" t="s">
        <v>22</v>
      </c>
      <c r="F143" s="65" t="s">
        <v>23</v>
      </c>
      <c r="G143" s="65" t="s">
        <v>24</v>
      </c>
      <c r="H143" s="65" t="s">
        <v>25</v>
      </c>
      <c r="I143" s="65" t="s">
        <v>26</v>
      </c>
      <c r="J143" s="65" t="s">
        <v>27</v>
      </c>
      <c r="K143" s="65" t="s">
        <v>28</v>
      </c>
    </row>
    <row r="144" spans="2:11" ht="15">
      <c r="B144" s="112" t="s">
        <v>161</v>
      </c>
      <c r="D144" s="109"/>
      <c r="E144" s="109"/>
      <c r="F144" s="109"/>
      <c r="G144" s="109"/>
      <c r="H144" s="121"/>
      <c r="I144" s="121"/>
      <c r="J144" s="121"/>
      <c r="K144" s="424"/>
    </row>
    <row r="145" spans="2:12" ht="15">
      <c r="B145" s="163"/>
      <c r="D145"/>
      <c r="E145"/>
      <c r="F145"/>
      <c r="G145"/>
      <c r="H145" s="121"/>
      <c r="I145" s="121"/>
      <c r="J145" s="121"/>
      <c r="K145" s="424"/>
    </row>
    <row r="146" spans="2:12" ht="15">
      <c r="B146" s="112" t="s">
        <v>192</v>
      </c>
      <c r="D146" s="164">
        <v>540.29999999999995</v>
      </c>
      <c r="E146" s="164">
        <v>903.6</v>
      </c>
      <c r="F146" s="164">
        <v>1386.3</v>
      </c>
      <c r="G146" s="164">
        <v>1526</v>
      </c>
      <c r="H146" s="164">
        <f ca="1">H16*H32</f>
        <v>1531.0058400000003</v>
      </c>
      <c r="I146" s="164">
        <f ca="1">I16*I32</f>
        <v>1421.6482800000006</v>
      </c>
      <c r="J146" s="164">
        <f ca="1">J16*J32</f>
        <v>1386.1070730000006</v>
      </c>
      <c r="K146" s="164">
        <f ca="1">K16*K32</f>
        <v>963.43682287320064</v>
      </c>
    </row>
    <row r="147" spans="2:12">
      <c r="B147"/>
      <c r="C147"/>
      <c r="D147"/>
      <c r="E147"/>
      <c r="F147"/>
      <c r="G147"/>
      <c r="H147"/>
      <c r="I147"/>
      <c r="J147"/>
      <c r="K147"/>
    </row>
    <row r="148" spans="2:12" ht="15">
      <c r="B148" s="109" t="s">
        <v>193</v>
      </c>
      <c r="D148" s="166"/>
      <c r="E148" s="166"/>
      <c r="F148" s="166"/>
      <c r="G148" s="166"/>
      <c r="H148" s="132">
        <f>G151</f>
        <v>5557.2</v>
      </c>
      <c r="I148" s="132">
        <f ca="1">H151</f>
        <v>6421.341840000001</v>
      </c>
      <c r="J148" s="132">
        <f ca="1">I151</f>
        <v>7072.4290992000015</v>
      </c>
      <c r="K148" s="132">
        <f ca="1">J151</f>
        <v>7609.8446802960025</v>
      </c>
    </row>
    <row r="149" spans="2:12" ht="15">
      <c r="B149" s="109" t="s">
        <v>194</v>
      </c>
      <c r="C149"/>
      <c r="D149"/>
      <c r="E149"/>
      <c r="F149"/>
      <c r="G149"/>
      <c r="H149" s="132">
        <f ca="1">H148*Assumptions!I44*-1</f>
        <v>-666.86399999999992</v>
      </c>
      <c r="I149" s="132">
        <f ca="1">I148*Assumptions!J44*-1</f>
        <v>-770.56102080000005</v>
      </c>
      <c r="J149" s="132">
        <f ca="1">J148*Assumptions!K44*-1</f>
        <v>-848.69149190400015</v>
      </c>
      <c r="K149" s="132">
        <f ca="1">K148*Assumptions!L44*-1</f>
        <v>-913.18136163552026</v>
      </c>
      <c r="L149" s="56" t="s">
        <v>195</v>
      </c>
    </row>
    <row r="150" spans="2:12" ht="15">
      <c r="B150" s="109" t="s">
        <v>192</v>
      </c>
      <c r="C150"/>
      <c r="D150"/>
      <c r="E150"/>
      <c r="F150"/>
      <c r="G150"/>
      <c r="H150" s="132">
        <f ca="1">H146</f>
        <v>1531.0058400000003</v>
      </c>
      <c r="I150" s="132">
        <f ca="1">I146</f>
        <v>1421.6482800000006</v>
      </c>
      <c r="J150" s="132">
        <f ca="1">J146</f>
        <v>1386.1070730000006</v>
      </c>
      <c r="K150" s="132">
        <f ca="1">K146</f>
        <v>963.43682287320064</v>
      </c>
    </row>
    <row r="151" spans="2:12" ht="15.6" thickBot="1">
      <c r="B151" s="109" t="s">
        <v>196</v>
      </c>
      <c r="C151"/>
      <c r="D151" s="319"/>
      <c r="E151" s="319"/>
      <c r="F151" s="319"/>
      <c r="G151" s="320">
        <f>G71</f>
        <v>5557.2</v>
      </c>
      <c r="H151" s="320">
        <f ca="1">SUM(H148:H150)</f>
        <v>6421.341840000001</v>
      </c>
      <c r="I151" s="320">
        <f ca="1">SUM(I148:I150)</f>
        <v>7072.4290992000015</v>
      </c>
      <c r="J151" s="320">
        <f ca="1">SUM(J148:J150)</f>
        <v>7609.8446802960025</v>
      </c>
      <c r="K151" s="320">
        <f ca="1">SUM(K148:K150)</f>
        <v>7660.1001415336832</v>
      </c>
    </row>
    <row r="152" spans="2:12">
      <c r="B152"/>
      <c r="C152"/>
      <c r="D152"/>
      <c r="E152"/>
      <c r="F152"/>
      <c r="G152"/>
      <c r="H152"/>
      <c r="I152"/>
      <c r="J152"/>
      <c r="K152"/>
    </row>
    <row r="153" spans="2:12">
      <c r="B153"/>
      <c r="C153"/>
      <c r="D153"/>
      <c r="E153"/>
      <c r="F153"/>
      <c r="G153"/>
      <c r="H153"/>
      <c r="I153"/>
      <c r="J153"/>
      <c r="K153"/>
    </row>
    <row r="154" spans="2:12">
      <c r="B154"/>
      <c r="C154"/>
      <c r="D154"/>
      <c r="E154"/>
      <c r="F154"/>
      <c r="G154"/>
      <c r="H154"/>
      <c r="I154"/>
      <c r="J154"/>
      <c r="K154"/>
    </row>
    <row r="155" spans="2:12">
      <c r="B155"/>
      <c r="C155"/>
      <c r="D155"/>
      <c r="E155"/>
      <c r="F155"/>
      <c r="G155"/>
      <c r="H155"/>
      <c r="I155"/>
      <c r="J155"/>
      <c r="K155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7F2EC"/>
  </sheetPr>
  <dimension ref="A1:AG1000"/>
  <sheetViews>
    <sheetView showGridLines="0" zoomScaleNormal="100" workbookViewId="0">
      <pane xSplit="1" ySplit="5" topLeftCell="B37" activePane="bottomRight" state="frozen"/>
      <selection pane="topRight" activeCell="D1" sqref="D1"/>
      <selection pane="bottomLeft" activeCell="A6" sqref="A6"/>
      <selection pane="bottomRight" activeCell="E45" sqref="E45:I49"/>
    </sheetView>
  </sheetViews>
  <sheetFormatPr defaultColWidth="14.44140625" defaultRowHeight="15" customHeight="1"/>
  <cols>
    <col min="1" max="1" width="2.77734375" style="219" customWidth="1"/>
    <col min="2" max="3" width="15.77734375" style="219" customWidth="1"/>
    <col min="4" max="4" width="10.44140625" style="219" bestFit="1" customWidth="1"/>
    <col min="5" max="10" width="15.77734375" style="219" customWidth="1"/>
    <col min="11" max="11" width="4" style="219" bestFit="1" customWidth="1"/>
    <col min="12" max="13" width="2.77734375" style="219" customWidth="1"/>
    <col min="14" max="17" width="15.77734375" style="219" customWidth="1"/>
    <col min="18" max="18" width="15.44140625" style="219" bestFit="1" customWidth="1"/>
    <col min="19" max="22" width="15.77734375" style="219" customWidth="1"/>
    <col min="23" max="23" width="5.77734375" style="219" bestFit="1" customWidth="1"/>
    <col min="24" max="24" width="2.77734375" style="219" customWidth="1"/>
    <col min="25" max="33" width="12.77734375" style="219" customWidth="1"/>
    <col min="34" max="16384" width="14.44140625" style="219"/>
  </cols>
  <sheetData>
    <row r="1" spans="1:33" s="306" customFormat="1" ht="15.75" customHeight="1">
      <c r="A1" s="307"/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</row>
    <row r="2" spans="1:33" s="306" customFormat="1" ht="15.75" customHeight="1">
      <c r="A2" s="307"/>
      <c r="B2" s="308" t="s">
        <v>197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</row>
    <row r="3" spans="1:33" s="306" customFormat="1" ht="15.75" customHeight="1">
      <c r="A3" s="309"/>
      <c r="B3" s="309" t="s">
        <v>60</v>
      </c>
      <c r="C3" s="309"/>
      <c r="D3" s="309"/>
      <c r="E3" s="309"/>
      <c r="F3" s="310">
        <f ca="1">TODAY()</f>
        <v>45982</v>
      </c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</row>
    <row r="4" spans="1:33" ht="15.75" customHeight="1">
      <c r="A4" s="220"/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2"/>
      <c r="AA4" s="220"/>
      <c r="AB4" s="222"/>
      <c r="AC4" s="220"/>
      <c r="AD4" s="220"/>
      <c r="AE4" s="220"/>
      <c r="AF4" s="220"/>
      <c r="AG4" s="220"/>
    </row>
    <row r="5" spans="1:33" ht="15.75" customHeight="1">
      <c r="A5" s="220"/>
      <c r="B5" s="412" t="s">
        <v>61</v>
      </c>
      <c r="C5" s="413"/>
      <c r="D5" s="413"/>
      <c r="E5" s="413"/>
      <c r="F5" s="414"/>
      <c r="G5" s="415">
        <v>2025</v>
      </c>
      <c r="H5" s="415">
        <f>G5+1</f>
        <v>2026</v>
      </c>
      <c r="I5" s="415">
        <f>H5+1</f>
        <v>2027</v>
      </c>
      <c r="J5" s="416">
        <f>I5+1</f>
        <v>2028</v>
      </c>
      <c r="K5" s="220"/>
      <c r="L5" s="220"/>
      <c r="M5" s="220"/>
      <c r="N5" s="576" t="s">
        <v>198</v>
      </c>
      <c r="O5" s="577"/>
      <c r="P5" s="577"/>
      <c r="Q5" s="578"/>
      <c r="R5" s="220"/>
      <c r="S5" s="576" t="s">
        <v>199</v>
      </c>
      <c r="T5" s="577"/>
      <c r="U5" s="577"/>
      <c r="V5" s="578"/>
      <c r="W5" s="220"/>
      <c r="X5" s="220"/>
      <c r="Y5" s="220"/>
      <c r="Z5" s="222"/>
      <c r="AA5" s="220"/>
      <c r="AB5" s="222"/>
      <c r="AC5" s="220"/>
      <c r="AD5" s="220"/>
      <c r="AE5" s="220"/>
      <c r="AF5" s="220"/>
      <c r="AG5" s="220"/>
    </row>
    <row r="6" spans="1:33" ht="15.75" customHeight="1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2"/>
      <c r="AA6" s="220"/>
      <c r="AB6" s="222"/>
      <c r="AC6" s="220"/>
      <c r="AD6" s="220"/>
      <c r="AE6" s="220"/>
      <c r="AF6" s="220"/>
      <c r="AG6" s="220"/>
    </row>
    <row r="7" spans="1:33" ht="15.75" customHeight="1">
      <c r="A7" s="220"/>
      <c r="B7" s="408" t="s">
        <v>200</v>
      </c>
      <c r="C7" s="408"/>
      <c r="D7" s="408"/>
      <c r="E7" s="408"/>
      <c r="F7" s="409"/>
      <c r="G7" s="409">
        <f ca="1">'Three Statement Model'!H32</f>
        <v>5467.8780000000006</v>
      </c>
      <c r="H7" s="409">
        <f ca="1">'Three Statement Model'!I32</f>
        <v>7108.2414000000026</v>
      </c>
      <c r="I7" s="409">
        <f ca="1">'Three Statement Model'!J32</f>
        <v>9240.7138200000045</v>
      </c>
      <c r="J7" s="409">
        <f ca="1">'Three Statement Model'!K32</f>
        <v>12012.927966000008</v>
      </c>
      <c r="K7" s="220"/>
      <c r="L7" s="220"/>
      <c r="M7" s="220"/>
      <c r="N7" s="224" t="str">
        <f>$J$5&amp;"E Adjusted EBITDA"</f>
        <v>2028E Adjusted EBITDA</v>
      </c>
      <c r="O7" s="225"/>
      <c r="P7" s="225"/>
      <c r="Q7" s="226">
        <f ca="1">J18+J16</f>
        <v>3571.8676322830029</v>
      </c>
      <c r="R7" s="220"/>
      <c r="S7" s="224" t="str">
        <f>$J$5&amp;"E Unlevered Free Cash Flow"</f>
        <v>2028E Unlevered Free Cash Flow</v>
      </c>
      <c r="T7" s="225"/>
      <c r="U7" s="225"/>
      <c r="V7" s="226">
        <f ca="1">J30</f>
        <v>660.66190324314846</v>
      </c>
      <c r="W7" s="220"/>
      <c r="X7" s="434" t="s">
        <v>201</v>
      </c>
      <c r="Y7" s="220"/>
      <c r="AA7" s="220"/>
      <c r="AB7" s="220"/>
      <c r="AC7" s="220"/>
      <c r="AD7" s="220"/>
      <c r="AE7" s="220"/>
      <c r="AF7" s="220"/>
      <c r="AG7" s="220"/>
    </row>
    <row r="8" spans="1:33" ht="15.75" customHeight="1">
      <c r="A8" s="220"/>
      <c r="B8" s="221" t="s">
        <v>202</v>
      </c>
      <c r="C8" s="221"/>
      <c r="D8" s="221"/>
      <c r="E8" s="221"/>
      <c r="F8" s="227"/>
      <c r="G8"/>
      <c r="H8" s="227">
        <f ca="1">(H7-G7)/G7</f>
        <v>0.30000000000000032</v>
      </c>
      <c r="I8" s="227">
        <f ca="1">(I7-H7)/H7</f>
        <v>0.30000000000000016</v>
      </c>
      <c r="J8" s="227">
        <f ca="1">(J7-I7)/I7</f>
        <v>0.30000000000000027</v>
      </c>
      <c r="K8" s="220"/>
      <c r="L8" s="220"/>
      <c r="M8" s="220"/>
      <c r="N8" s="228" t="s">
        <v>203</v>
      </c>
      <c r="O8" s="229"/>
      <c r="P8" s="229"/>
      <c r="Q8" s="230">
        <v>9</v>
      </c>
      <c r="R8" s="220"/>
      <c r="S8" s="228" t="s">
        <v>204</v>
      </c>
      <c r="T8" s="229"/>
      <c r="U8" s="229"/>
      <c r="V8" s="231">
        <v>2.5000000000000001E-2</v>
      </c>
      <c r="W8" s="220"/>
      <c r="X8" s="220"/>
      <c r="Y8" s="220"/>
      <c r="Z8" s="220"/>
      <c r="AA8" s="220"/>
      <c r="AB8" s="220"/>
      <c r="AC8" s="220"/>
      <c r="AD8" s="220"/>
      <c r="AE8" s="220"/>
      <c r="AF8" s="220"/>
      <c r="AG8" s="220"/>
    </row>
    <row r="9" spans="1:33" ht="15.75" customHeight="1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32" t="s">
        <v>205</v>
      </c>
      <c r="O9" s="233"/>
      <c r="P9" s="233"/>
      <c r="Q9" s="234">
        <f ca="1">Q8*Q7</f>
        <v>32146.808690547026</v>
      </c>
      <c r="R9" s="220"/>
      <c r="S9" s="232" t="s">
        <v>205</v>
      </c>
      <c r="T9" s="233"/>
      <c r="U9" s="233"/>
      <c r="V9" s="234">
        <f ca="1">(V7*(1+V8))/(D33-V8)</f>
        <v>7213.3590276031191</v>
      </c>
      <c r="W9" s="220"/>
      <c r="X9" s="220"/>
      <c r="Y9" s="220" t="s">
        <v>206</v>
      </c>
      <c r="Z9" s="220"/>
      <c r="AA9" s="220"/>
      <c r="AB9" s="220"/>
      <c r="AC9" s="220"/>
      <c r="AD9" s="220"/>
      <c r="AE9" s="220"/>
      <c r="AF9" s="220"/>
      <c r="AG9" s="220"/>
    </row>
    <row r="10" spans="1:33" ht="15.75" customHeight="1">
      <c r="A10" s="220"/>
      <c r="B10" s="220" t="s">
        <v>34</v>
      </c>
      <c r="C10" s="220"/>
      <c r="D10" s="220"/>
      <c r="E10" s="220"/>
      <c r="F10" s="235"/>
      <c r="G10" s="235">
        <f ca="1">'Three Statement Model'!H33*-1</f>
        <v>3280.7268000000004</v>
      </c>
      <c r="H10" s="235">
        <f ca="1">'Three Statement Model'!I33*-1</f>
        <v>4264.944840000001</v>
      </c>
      <c r="I10" s="235">
        <f ca="1">'Three Statement Model'!J33*-1</f>
        <v>5544.4282920000023</v>
      </c>
      <c r="J10" s="235">
        <f ca="1">'Three Statement Model'!K33*-1</f>
        <v>7207.7567796000048</v>
      </c>
      <c r="K10" s="220"/>
      <c r="L10" s="220"/>
      <c r="M10" s="220"/>
      <c r="N10" s="236" t="s">
        <v>207</v>
      </c>
      <c r="O10" s="220"/>
      <c r="P10" s="220"/>
      <c r="Q10" s="237">
        <f>J35</f>
        <v>0.63807021687168941</v>
      </c>
      <c r="R10" s="220"/>
      <c r="S10" s="236" t="s">
        <v>207</v>
      </c>
      <c r="T10" s="220"/>
      <c r="U10" s="220"/>
      <c r="V10" s="237">
        <f>J35</f>
        <v>0.63807021687168941</v>
      </c>
      <c r="W10" s="220"/>
      <c r="X10" s="220"/>
      <c r="Y10" s="220" t="s">
        <v>208</v>
      </c>
      <c r="Z10" s="220"/>
      <c r="AA10" s="220"/>
      <c r="AB10" s="220"/>
      <c r="AC10" s="220"/>
      <c r="AD10" s="220"/>
      <c r="AE10" s="220"/>
      <c r="AF10" s="220"/>
      <c r="AG10" s="220"/>
    </row>
    <row r="11" spans="1:33" ht="15.75" customHeight="1">
      <c r="A11" s="220"/>
      <c r="B11" s="408" t="s">
        <v>209</v>
      </c>
      <c r="C11" s="408"/>
      <c r="D11" s="408"/>
      <c r="E11" s="408"/>
      <c r="F11" s="409"/>
      <c r="G11" s="409">
        <f t="shared" ref="G11" ca="1" si="0">G7-G10</f>
        <v>2187.1512000000002</v>
      </c>
      <c r="H11" s="409">
        <f ca="1">H7-H10</f>
        <v>2843.2965600000016</v>
      </c>
      <c r="I11" s="409">
        <f ca="1">I7-I10</f>
        <v>3696.2855280000022</v>
      </c>
      <c r="J11" s="409">
        <f ca="1">J7-J10</f>
        <v>4805.1711864000035</v>
      </c>
      <c r="K11" s="220"/>
      <c r="L11" s="220"/>
      <c r="M11" s="220"/>
      <c r="N11" s="236" t="s">
        <v>210</v>
      </c>
      <c r="O11" s="220"/>
      <c r="P11" s="220"/>
      <c r="Q11" s="238">
        <f ca="1">Q10*Q9</f>
        <v>20511.921192910049</v>
      </c>
      <c r="R11" s="438"/>
      <c r="S11" s="236" t="s">
        <v>210</v>
      </c>
      <c r="T11" s="220"/>
      <c r="U11" s="220"/>
      <c r="V11" s="238">
        <f ca="1">V10*V9</f>
        <v>4602.6295591160806</v>
      </c>
      <c r="W11" s="438"/>
      <c r="X11" s="220"/>
      <c r="Y11" s="220" t="s">
        <v>211</v>
      </c>
      <c r="Z11" s="220"/>
      <c r="AA11" s="220"/>
      <c r="AB11" s="220"/>
      <c r="AC11" s="220"/>
      <c r="AD11" s="220"/>
      <c r="AE11" s="220"/>
      <c r="AF11" s="220"/>
      <c r="AG11" s="220"/>
    </row>
    <row r="12" spans="1:33" ht="15.75" customHeight="1">
      <c r="A12" s="220"/>
      <c r="B12" s="221" t="s">
        <v>212</v>
      </c>
      <c r="C12" s="221"/>
      <c r="D12" s="221"/>
      <c r="E12" s="221"/>
      <c r="F12" s="227"/>
      <c r="G12" s="227">
        <f t="shared" ref="G12" ca="1" si="1">G11/G7</f>
        <v>0.4</v>
      </c>
      <c r="H12" s="227">
        <f ca="1">H11/H7</f>
        <v>0.40000000000000008</v>
      </c>
      <c r="I12" s="227">
        <f ca="1">I11/I7</f>
        <v>0.4</v>
      </c>
      <c r="J12" s="227">
        <f ca="1">J11/J7</f>
        <v>0.4</v>
      </c>
      <c r="K12" s="220"/>
      <c r="L12" s="220"/>
      <c r="M12" s="220"/>
      <c r="N12" s="236" t="s">
        <v>213</v>
      </c>
      <c r="O12" s="220"/>
      <c r="P12" s="220"/>
      <c r="Q12" s="238">
        <f ca="1">J38</f>
        <v>468.06330290113829</v>
      </c>
      <c r="R12" s="438"/>
      <c r="S12" s="236" t="s">
        <v>213</v>
      </c>
      <c r="T12" s="220"/>
      <c r="U12" s="220"/>
      <c r="V12" s="238">
        <f ca="1">J38</f>
        <v>468.06330290113829</v>
      </c>
      <c r="W12" s="438"/>
      <c r="X12" s="220"/>
      <c r="Y12" s="220" t="s">
        <v>214</v>
      </c>
      <c r="Z12" s="220"/>
      <c r="AA12" s="220"/>
      <c r="AB12" s="220"/>
      <c r="AC12" s="220"/>
      <c r="AD12" s="220"/>
      <c r="AE12" s="220"/>
      <c r="AF12" s="220"/>
      <c r="AG12" s="220"/>
    </row>
    <row r="13" spans="1:33" ht="15.75" customHeight="1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39" t="s">
        <v>215</v>
      </c>
      <c r="O13" s="223"/>
      <c r="P13" s="223"/>
      <c r="Q13" s="240">
        <f ca="1">SUM(Q11:Q12)</f>
        <v>20979.984495811186</v>
      </c>
      <c r="R13" s="220"/>
      <c r="S13" s="239" t="s">
        <v>215</v>
      </c>
      <c r="T13" s="223"/>
      <c r="U13" s="223"/>
      <c r="V13" s="240">
        <f ca="1">V12+V11</f>
        <v>5070.6928620172184</v>
      </c>
      <c r="W13" s="220"/>
      <c r="X13" s="220"/>
      <c r="Y13" s="579" t="s">
        <v>216</v>
      </c>
      <c r="Z13" s="580"/>
      <c r="AA13" s="580"/>
      <c r="AB13" s="580"/>
      <c r="AC13" s="580"/>
      <c r="AD13" s="220"/>
      <c r="AE13" s="220"/>
      <c r="AF13" s="220"/>
      <c r="AG13" s="220"/>
    </row>
    <row r="14" spans="1:33" ht="15.75" customHeight="1">
      <c r="A14" s="220"/>
      <c r="B14" s="220" t="s">
        <v>36</v>
      </c>
      <c r="C14" s="220"/>
      <c r="D14" s="220"/>
      <c r="E14" s="220"/>
      <c r="F14" s="235"/>
      <c r="G14" s="235">
        <f ca="1">'Three Statement Model'!H36</f>
        <v>205.24700000000001</v>
      </c>
      <c r="H14" s="235">
        <f ca="1">'Three Statement Model'!I36</f>
        <v>223.71923000000004</v>
      </c>
      <c r="I14" s="235">
        <f ca="1">'Three Statement Model'!J36</f>
        <v>243.85396070000007</v>
      </c>
      <c r="J14" s="235">
        <f ca="1">'Three Statement Model'!K36</f>
        <v>265.80081716300009</v>
      </c>
      <c r="K14" s="220"/>
      <c r="L14" s="220"/>
      <c r="M14" s="220"/>
      <c r="N14" s="241" t="s">
        <v>217</v>
      </c>
      <c r="O14" s="242"/>
      <c r="P14" s="242"/>
      <c r="Q14" s="243">
        <f ca="1">((Q9*D33)-(V7))/(Q9+V7)</f>
        <v>9.6346915459715618E-2</v>
      </c>
      <c r="R14" s="220"/>
      <c r="S14" s="241" t="s">
        <v>218</v>
      </c>
      <c r="T14" s="242"/>
      <c r="U14" s="242"/>
      <c r="V14" s="315">
        <f ca="1">V9/Q7</f>
        <v>2.0194922573299876</v>
      </c>
      <c r="W14" s="220"/>
      <c r="X14" s="220"/>
      <c r="Y14" s="580"/>
      <c r="Z14" s="580"/>
      <c r="AA14" s="580"/>
      <c r="AB14" s="580"/>
      <c r="AC14" s="580"/>
      <c r="AD14" s="220"/>
      <c r="AE14" s="220"/>
      <c r="AF14" s="220"/>
      <c r="AG14" s="220"/>
    </row>
    <row r="15" spans="1:33" ht="15.75" customHeight="1">
      <c r="A15" s="220"/>
      <c r="B15" s="220" t="s">
        <v>38</v>
      </c>
      <c r="C15" s="220"/>
      <c r="D15" s="220"/>
      <c r="E15" s="220"/>
      <c r="F15" s="235"/>
      <c r="G15" s="235">
        <f ca="1">'Three Statement Model'!H37</f>
        <v>213.24724200000003</v>
      </c>
      <c r="H15" s="235">
        <f ca="1">'Three Statement Model'!I37</f>
        <v>277.22141460000012</v>
      </c>
      <c r="I15" s="235">
        <f ca="1">'Three Statement Model'!J37</f>
        <v>360.3878389800002</v>
      </c>
      <c r="J15" s="235">
        <f ca="1">'Three Statement Model'!K37</f>
        <v>468.50419067400031</v>
      </c>
      <c r="K15" s="220"/>
      <c r="L15" s="220"/>
      <c r="M15" s="220"/>
      <c r="N15" s="236" t="s">
        <v>219</v>
      </c>
      <c r="O15" s="220"/>
      <c r="P15" s="220"/>
      <c r="Q15" s="244">
        <v>891.9</v>
      </c>
      <c r="R15" s="220"/>
      <c r="S15" s="236" t="s">
        <v>219</v>
      </c>
      <c r="T15" s="220"/>
      <c r="U15" s="220"/>
      <c r="V15" s="244">
        <v>891.9</v>
      </c>
      <c r="W15" s="220"/>
      <c r="X15" s="220"/>
      <c r="Y15" s="220" t="s">
        <v>220</v>
      </c>
      <c r="Z15" s="220"/>
      <c r="AA15" s="220"/>
      <c r="AB15" s="220"/>
      <c r="AC15" s="220"/>
      <c r="AD15" s="220"/>
      <c r="AE15" s="220"/>
      <c r="AF15" s="220"/>
      <c r="AG15" s="220"/>
    </row>
    <row r="16" spans="1:33" ht="15.75" customHeight="1">
      <c r="A16" s="220"/>
      <c r="B16" s="220" t="s">
        <v>70</v>
      </c>
      <c r="C16" s="220"/>
      <c r="D16" s="220"/>
      <c r="E16" s="220"/>
      <c r="F16" s="235"/>
      <c r="G16" s="235">
        <f ca="1">'Three Statement Model'!H38</f>
        <v>666.86399999999992</v>
      </c>
      <c r="H16" s="235">
        <f ca="1">'Three Statement Model'!I38</f>
        <v>770.56102080000005</v>
      </c>
      <c r="I16" s="235">
        <f ca="1">'Three Statement Model'!J38</f>
        <v>848.69149190400015</v>
      </c>
      <c r="J16" s="235">
        <f ca="1">'Three Statement Model'!K38</f>
        <v>913.18136163552026</v>
      </c>
      <c r="K16" s="220"/>
      <c r="L16" s="220"/>
      <c r="M16" s="220"/>
      <c r="N16" s="236" t="s">
        <v>221</v>
      </c>
      <c r="O16" s="220"/>
      <c r="P16" s="220"/>
      <c r="Q16" s="317">
        <v>2039.9</v>
      </c>
      <c r="R16" s="220"/>
      <c r="S16" s="236" t="s">
        <v>221</v>
      </c>
      <c r="T16" s="220"/>
      <c r="U16" s="220"/>
      <c r="V16" s="317">
        <v>2039.9</v>
      </c>
      <c r="W16" s="220"/>
      <c r="X16" s="220"/>
      <c r="Y16" s="245" t="s">
        <v>222</v>
      </c>
      <c r="Z16" s="220"/>
      <c r="AA16" s="220"/>
      <c r="AB16" s="220"/>
      <c r="AC16" s="220"/>
      <c r="AD16" s="220"/>
      <c r="AE16" s="220"/>
      <c r="AF16" s="220"/>
      <c r="AG16" s="220"/>
    </row>
    <row r="17" spans="1:33" ht="15.75" customHeight="1">
      <c r="A17" s="220"/>
      <c r="B17" s="220" t="s">
        <v>40</v>
      </c>
      <c r="C17" s="220"/>
      <c r="D17" s="220"/>
      <c r="E17" s="220"/>
      <c r="F17" s="235"/>
      <c r="G17" s="235">
        <f ca="1">'Three Statement Model'!H39</f>
        <v>169.23330000000001</v>
      </c>
      <c r="H17" s="235">
        <f ca="1">'Three Statement Model'!I39</f>
        <v>295.26541200000003</v>
      </c>
      <c r="I17" s="235">
        <f ca="1">'Three Statement Model'!J39</f>
        <v>383.84503560000007</v>
      </c>
      <c r="J17" s="235">
        <f ca="1">'Three Statement Model'!K39</f>
        <v>498.9985462800002</v>
      </c>
      <c r="K17" s="220"/>
      <c r="L17" s="220"/>
      <c r="M17" s="220"/>
      <c r="N17" s="239" t="s">
        <v>223</v>
      </c>
      <c r="O17" s="223"/>
      <c r="P17" s="223"/>
      <c r="Q17" s="240">
        <f ca="1">Q16+Q15+Q13</f>
        <v>23911.784495811185</v>
      </c>
      <c r="R17" s="220"/>
      <c r="S17" s="239" t="s">
        <v>223</v>
      </c>
      <c r="T17" s="223"/>
      <c r="U17" s="223"/>
      <c r="V17" s="240">
        <f ca="1">V16+V15+V13</f>
        <v>8002.4928620172186</v>
      </c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</row>
    <row r="18" spans="1:33" ht="15.75" customHeight="1">
      <c r="A18" s="220"/>
      <c r="B18" s="408" t="s">
        <v>224</v>
      </c>
      <c r="C18" s="408"/>
      <c r="D18" s="408"/>
      <c r="E18" s="408"/>
      <c r="F18" s="409"/>
      <c r="G18" s="409">
        <f t="shared" ref="G18" ca="1" si="2">G11-SUM(G14:G17)</f>
        <v>932.55965800000013</v>
      </c>
      <c r="H18" s="409">
        <f ca="1">H11-SUM(H14:H17)</f>
        <v>1276.5294826000015</v>
      </c>
      <c r="I18" s="409">
        <f ca="1">I11-SUM(I14:I17)</f>
        <v>1859.5072008160016</v>
      </c>
      <c r="J18" s="409">
        <f ca="1">J11-SUM(J14:J17)</f>
        <v>2658.6862706474826</v>
      </c>
      <c r="K18" s="220"/>
      <c r="L18" s="220"/>
      <c r="M18" s="220"/>
      <c r="N18" s="236" t="s">
        <v>225</v>
      </c>
      <c r="O18" s="220"/>
      <c r="P18" s="220"/>
      <c r="Q18" s="316">
        <v>107.5</v>
      </c>
      <c r="R18" s="220"/>
      <c r="S18" s="236" t="s">
        <v>226</v>
      </c>
      <c r="T18" s="220"/>
      <c r="U18" s="220"/>
      <c r="V18" s="316">
        <v>107.5</v>
      </c>
      <c r="W18" s="220"/>
      <c r="X18" s="220"/>
      <c r="Y18" s="220" t="s">
        <v>227</v>
      </c>
      <c r="Z18" s="220"/>
      <c r="AA18" s="220"/>
      <c r="AB18" s="220"/>
      <c r="AC18" s="220"/>
      <c r="AD18" s="220"/>
      <c r="AE18" s="220"/>
      <c r="AF18" s="220"/>
      <c r="AG18" s="220"/>
    </row>
    <row r="19" spans="1:33" ht="15.75" customHeight="1">
      <c r="A19" s="220"/>
      <c r="B19" s="221" t="s">
        <v>212</v>
      </c>
      <c r="C19" s="220"/>
      <c r="D19" s="220"/>
      <c r="E19" s="220"/>
      <c r="F19" s="246"/>
      <c r="G19" s="246">
        <f t="shared" ref="G19" ca="1" si="3">G18/G7</f>
        <v>0.17055238942785483</v>
      </c>
      <c r="H19" s="246">
        <f ca="1">H18/H7</f>
        <v>0.1795844303486937</v>
      </c>
      <c r="I19" s="246">
        <f ca="1">I18/I7</f>
        <v>0.20122982239655601</v>
      </c>
      <c r="J19" s="246">
        <f ca="1">J18/J7</f>
        <v>0.22131875577480514</v>
      </c>
      <c r="K19" s="220"/>
      <c r="L19" s="220"/>
      <c r="M19" s="220"/>
      <c r="N19" s="239" t="s">
        <v>228</v>
      </c>
      <c r="O19" s="223"/>
      <c r="P19" s="223"/>
      <c r="Q19" s="247">
        <f ca="1">Q17/Q18</f>
        <v>222.43520461219708</v>
      </c>
      <c r="R19" s="220"/>
      <c r="S19" s="239" t="s">
        <v>228</v>
      </c>
      <c r="T19" s="223"/>
      <c r="U19" s="223"/>
      <c r="V19" s="247">
        <f ca="1">V17/V18</f>
        <v>74.441794065276454</v>
      </c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</row>
    <row r="20" spans="1:33" ht="15.75" customHeight="1">
      <c r="A20" s="220"/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48" t="s">
        <v>229</v>
      </c>
      <c r="O20" s="249"/>
      <c r="P20" s="249"/>
      <c r="Q20" s="536">
        <f ca="1">(Q19-CurrentPrice)/CurrentPrice</f>
        <v>-9.520336555403075E-2</v>
      </c>
      <c r="R20" s="220"/>
      <c r="S20" s="248" t="s">
        <v>229</v>
      </c>
      <c r="T20" s="249"/>
      <c r="U20" s="249"/>
      <c r="V20" s="536">
        <f ca="1">(V19-CurrentPrice)/CurrentPrice</f>
        <v>-0.6971941341308312</v>
      </c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</row>
    <row r="21" spans="1:33" ht="15.75" customHeight="1">
      <c r="A21" s="220"/>
      <c r="B21" s="220" t="s">
        <v>125</v>
      </c>
      <c r="C21" s="220"/>
      <c r="D21" s="220"/>
      <c r="E21" s="220"/>
      <c r="F21" s="235"/>
      <c r="G21" s="235">
        <f ca="1">'Three Statement Model'!H50</f>
        <v>492.10902000000004</v>
      </c>
      <c r="H21" s="235">
        <f ca="1">'Three Statement Model'!I50</f>
        <v>852.98896800000023</v>
      </c>
      <c r="I21" s="235">
        <f ca="1">'Three Statement Model'!J50</f>
        <v>1663.3284876000007</v>
      </c>
      <c r="J21" s="235">
        <f ca="1">'Three Statement Model'!K50</f>
        <v>2522.7148728600018</v>
      </c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</row>
    <row r="22" spans="1:33" ht="15.75" customHeight="1">
      <c r="A22" s="220"/>
      <c r="B22" s="221" t="s">
        <v>74</v>
      </c>
      <c r="C22" s="221"/>
      <c r="D22" s="250"/>
      <c r="E22" s="221"/>
      <c r="F22" s="227"/>
      <c r="G22" s="227">
        <f t="shared" ref="G22" ca="1" si="4">G21/G7</f>
        <v>0.09</v>
      </c>
      <c r="H22" s="227">
        <f ca="1">H21/H7</f>
        <v>0.11999999999999998</v>
      </c>
      <c r="I22" s="227">
        <f ca="1">I21/I7</f>
        <v>0.18</v>
      </c>
      <c r="J22" s="227">
        <f ca="1">J21/J7</f>
        <v>0.21</v>
      </c>
      <c r="K22" s="220"/>
      <c r="L22" s="220"/>
      <c r="M22" s="220"/>
      <c r="N22" s="576" t="s">
        <v>230</v>
      </c>
      <c r="O22" s="577"/>
      <c r="P22" s="577"/>
      <c r="Q22" s="577"/>
      <c r="R22" s="577"/>
      <c r="S22" s="577"/>
      <c r="T22" s="577"/>
      <c r="U22" s="577"/>
      <c r="V22" s="578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</row>
    <row r="23" spans="1:33" ht="15.75" customHeight="1">
      <c r="A23" s="220"/>
      <c r="B23" s="408" t="s">
        <v>231</v>
      </c>
      <c r="C23" s="408"/>
      <c r="D23" s="411"/>
      <c r="E23" s="408"/>
      <c r="F23" s="409"/>
      <c r="G23" s="409">
        <f t="shared" ref="G23" ca="1" si="5">G18-G21</f>
        <v>440.45063800000008</v>
      </c>
      <c r="H23" s="409">
        <f ca="1">H18-H21</f>
        <v>423.5405146000013</v>
      </c>
      <c r="I23" s="409">
        <f ca="1">I18-I21</f>
        <v>196.17871321600092</v>
      </c>
      <c r="J23" s="409">
        <f ca="1">J18-J21</f>
        <v>135.97139778748078</v>
      </c>
      <c r="K23" s="220"/>
      <c r="L23" s="220"/>
      <c r="M23" s="220"/>
      <c r="N23" s="224" t="s">
        <v>198</v>
      </c>
      <c r="O23" s="225"/>
      <c r="P23" s="225"/>
      <c r="Q23" s="225"/>
      <c r="R23" s="225"/>
      <c r="S23" s="225"/>
      <c r="T23" s="225"/>
      <c r="U23" s="225"/>
      <c r="V23" s="251">
        <v>0.5</v>
      </c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</row>
    <row r="24" spans="1:33" ht="15.75" customHeight="1">
      <c r="A24" s="220"/>
      <c r="B24" s="221" t="s">
        <v>212</v>
      </c>
      <c r="C24" s="221"/>
      <c r="D24" s="221"/>
      <c r="E24" s="221"/>
      <c r="F24" s="252"/>
      <c r="G24" s="252">
        <f t="shared" ref="G24" ca="1" si="6">G23/G7</f>
        <v>8.0552389427854837E-2</v>
      </c>
      <c r="H24" s="252">
        <f ca="1">H23/H7</f>
        <v>5.958443034869372E-2</v>
      </c>
      <c r="I24" s="252">
        <f ca="1">I23/I7</f>
        <v>2.122982239655603E-2</v>
      </c>
      <c r="J24" s="252">
        <f ca="1">J23/J7</f>
        <v>1.1318755774805142E-2</v>
      </c>
      <c r="K24" s="220"/>
      <c r="L24" s="220"/>
      <c r="M24" s="220"/>
      <c r="N24" s="236" t="s">
        <v>199</v>
      </c>
      <c r="O24" s="220"/>
      <c r="P24" s="220"/>
      <c r="Q24" s="220"/>
      <c r="R24" s="220"/>
      <c r="S24" s="220"/>
      <c r="T24" s="220"/>
      <c r="U24" s="220"/>
      <c r="V24" s="253">
        <v>0.5</v>
      </c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</row>
    <row r="25" spans="1:33" ht="15.75" customHeight="1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39" t="s">
        <v>230</v>
      </c>
      <c r="O25" s="223"/>
      <c r="P25" s="223"/>
      <c r="Q25" s="223"/>
      <c r="R25" s="223"/>
      <c r="S25" s="223"/>
      <c r="T25" s="223"/>
      <c r="U25" s="223"/>
      <c r="V25" s="247">
        <f ca="1">Q19*V23+V19*V24</f>
        <v>148.43849933873676</v>
      </c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</row>
    <row r="26" spans="1:33" ht="15.75" customHeight="1">
      <c r="A26" s="220"/>
      <c r="B26" s="220" t="s">
        <v>232</v>
      </c>
      <c r="C26" s="220"/>
      <c r="D26" s="220"/>
      <c r="E26" s="220"/>
      <c r="F26" s="235"/>
      <c r="G26" s="235">
        <f ca="1">G16</f>
        <v>666.86399999999992</v>
      </c>
      <c r="H26" s="235">
        <f ca="1">H16</f>
        <v>770.56102080000005</v>
      </c>
      <c r="I26" s="235">
        <f ca="1">I16</f>
        <v>848.69149190400015</v>
      </c>
      <c r="J26" s="235">
        <f ca="1">J16</f>
        <v>913.18136163552026</v>
      </c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</row>
    <row r="27" spans="1:33" ht="15.75" customHeight="1">
      <c r="A27" s="220"/>
      <c r="B27" s="220" t="s">
        <v>233</v>
      </c>
      <c r="C27" s="220"/>
      <c r="D27" s="220"/>
      <c r="E27" s="220"/>
      <c r="F27" s="235"/>
      <c r="G27" s="235">
        <f ca="1">'Three Statement Model'!H118*-1</f>
        <v>1531.0058400000003</v>
      </c>
      <c r="H27" s="235">
        <f ca="1">'Three Statement Model'!I118*-1</f>
        <v>1421.6482800000006</v>
      </c>
      <c r="I27" s="235">
        <f ca="1">'Three Statement Model'!J118*-1</f>
        <v>1386.1070730000006</v>
      </c>
      <c r="J27" s="235">
        <f ca="1">'Three Statement Model'!K118*-1</f>
        <v>963.43682287320064</v>
      </c>
      <c r="K27" s="235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</row>
    <row r="28" spans="1:33" ht="15.75" customHeight="1">
      <c r="A28" s="220"/>
      <c r="B28" s="220" t="s">
        <v>234</v>
      </c>
      <c r="C28" s="220"/>
      <c r="D28" s="220"/>
      <c r="E28" s="220"/>
      <c r="F28" s="235"/>
      <c r="G28" s="235">
        <f ca="1">SUM('Three Statement Model'!H108:H113)*-1</f>
        <v>276.48795881929146</v>
      </c>
      <c r="H28" s="235">
        <f ca="1">SUM('Three Statement Model'!I108:I113)*-1</f>
        <v>349.44694107193129</v>
      </c>
      <c r="I28" s="235">
        <f ca="1">SUM('Three Statement Model'!J108:J113)*-1</f>
        <v>454.2810233935104</v>
      </c>
      <c r="J28" s="235">
        <f ca="1">SUM('Three Statement Model'!K108:K113)*-1</f>
        <v>574.94596669334805</v>
      </c>
      <c r="K28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</row>
    <row r="29" spans="1:33" ht="15.75" customHeight="1">
      <c r="A29" s="220"/>
      <c r="B29" s="220" t="s">
        <v>235</v>
      </c>
      <c r="C29" s="220"/>
      <c r="D29" s="220"/>
      <c r="E29" s="220"/>
      <c r="F29" s="427"/>
      <c r="G29" s="235"/>
      <c r="H29" s="235"/>
      <c r="I29" s="235"/>
      <c r="J29" s="235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</row>
    <row r="30" spans="1:33" ht="15.75" customHeight="1">
      <c r="A30" s="220"/>
      <c r="B30" s="408" t="s">
        <v>236</v>
      </c>
      <c r="C30" s="408"/>
      <c r="D30" s="408"/>
      <c r="E30" s="408"/>
      <c r="F30" s="409"/>
      <c r="G30" s="409">
        <f ca="1">G23+G26-G27+G28</f>
        <v>-147.20324318070874</v>
      </c>
      <c r="H30" s="409">
        <f ca="1">H23+H26-H27+H28</f>
        <v>121.90019647193219</v>
      </c>
      <c r="I30" s="409">
        <f ca="1">I23+I26-I27+I28</f>
        <v>113.04415551351099</v>
      </c>
      <c r="J30" s="409">
        <f ca="1">J23+J26-J27+J28</f>
        <v>660.66190324314846</v>
      </c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</row>
    <row r="31" spans="1:33" ht="15.75" customHeight="1">
      <c r="A31" s="220"/>
      <c r="B31" s="221" t="s">
        <v>212</v>
      </c>
      <c r="C31" s="220"/>
      <c r="D31" s="220"/>
      <c r="E31" s="220"/>
      <c r="F31" s="246"/>
      <c r="G31" s="246">
        <f t="shared" ref="G31" ca="1" si="7">G30/G7</f>
        <v>-2.6921457132128537E-2</v>
      </c>
      <c r="H31" s="246">
        <f ca="1">H30/H7</f>
        <v>1.7149135716174768E-2</v>
      </c>
      <c r="I31" s="246">
        <f ca="1">I30/I7</f>
        <v>1.223327090476988E-2</v>
      </c>
      <c r="J31" s="246">
        <f ca="1">J30/J7</f>
        <v>5.4995909832557803E-2</v>
      </c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</row>
    <row r="32" spans="1:33" ht="15.75" customHeight="1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</row>
    <row r="33" spans="1:33" ht="15.75" customHeight="1">
      <c r="A33" s="220"/>
      <c r="B33" s="245" t="s">
        <v>237</v>
      </c>
      <c r="C33" s="220"/>
      <c r="D33" s="442">
        <f>WACC!$J$23</f>
        <v>0.11887837874600321</v>
      </c>
      <c r="E33" s="220"/>
      <c r="F33" s="254"/>
      <c r="G33" s="254">
        <f t="shared" ref="G33" si="8">$D$33</f>
        <v>0.11887837874600321</v>
      </c>
      <c r="H33" s="254">
        <f>$D$33</f>
        <v>0.11887837874600321</v>
      </c>
      <c r="I33" s="254">
        <f>$D$33</f>
        <v>0.11887837874600321</v>
      </c>
      <c r="J33" s="254">
        <f>$D$33</f>
        <v>0.11887837874600321</v>
      </c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</row>
    <row r="34" spans="1:33" ht="15.75" customHeight="1">
      <c r="A34" s="220"/>
      <c r="B34" s="220" t="s">
        <v>238</v>
      </c>
      <c r="C34" s="220"/>
      <c r="D34" s="220"/>
      <c r="E34" s="220"/>
      <c r="F34" s="255"/>
      <c r="G34" s="255">
        <f t="shared" ref="G34" si="9">F34+1</f>
        <v>1</v>
      </c>
      <c r="H34" s="255">
        <f>G34+1</f>
        <v>2</v>
      </c>
      <c r="I34" s="255">
        <f>H34+1</f>
        <v>3</v>
      </c>
      <c r="J34" s="255">
        <f>I34+1</f>
        <v>4</v>
      </c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</row>
    <row r="35" spans="1:33" ht="15.75" customHeight="1">
      <c r="A35" s="220"/>
      <c r="B35" s="220" t="s">
        <v>207</v>
      </c>
      <c r="C35" s="220"/>
      <c r="D35" s="220"/>
      <c r="E35" s="220"/>
      <c r="F35" s="255"/>
      <c r="G35" s="255">
        <f t="shared" ref="G35" si="10">1/(1+G33)^G34</f>
        <v>0.89375218879532048</v>
      </c>
      <c r="H35" s="255">
        <f>1/(1+H33)^H34</f>
        <v>0.79879297497642621</v>
      </c>
      <c r="I35" s="255">
        <f>1/(1+I33)^I34</f>
        <v>0.71392296977950653</v>
      </c>
      <c r="J35" s="255">
        <f>1/(1+J33)^J34</f>
        <v>0.63807021687168941</v>
      </c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</row>
    <row r="36" spans="1:33" ht="15.75" customHeight="1">
      <c r="A36" s="220"/>
      <c r="B36" s="408" t="s">
        <v>239</v>
      </c>
      <c r="C36" s="408"/>
      <c r="D36" s="408"/>
      <c r="E36" s="408"/>
      <c r="F36" s="409"/>
      <c r="G36" s="409">
        <f t="shared" ref="G36" ca="1" si="11">G30*G35</f>
        <v>-131.56322079052828</v>
      </c>
      <c r="H36" s="410">
        <f ca="1">H30*H35</f>
        <v>97.373020590025575</v>
      </c>
      <c r="I36" s="410">
        <f ca="1">I30*I35</f>
        <v>80.704819220422138</v>
      </c>
      <c r="J36" s="410">
        <f ca="1">J30*J35</f>
        <v>421.54868388121884</v>
      </c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</row>
    <row r="37" spans="1:33" ht="15.75" customHeight="1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</row>
    <row r="38" spans="1:33" ht="15.75" customHeight="1">
      <c r="A38" s="220"/>
      <c r="B38" s="256" t="s">
        <v>240</v>
      </c>
      <c r="C38" s="257"/>
      <c r="D38" s="257"/>
      <c r="E38" s="257"/>
      <c r="F38" s="257"/>
      <c r="G38" s="257"/>
      <c r="H38" s="257"/>
      <c r="I38" s="257"/>
      <c r="J38" s="258">
        <f ca="1">SUM(G36:J36)</f>
        <v>468.06330290113829</v>
      </c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</row>
    <row r="39" spans="1:33" ht="15.75" customHeight="1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</row>
    <row r="40" spans="1:33" ht="15.75" customHeight="1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</row>
    <row r="41" spans="1:33" ht="15.75" customHeight="1">
      <c r="A41" s="220"/>
      <c r="B41" s="581" t="s">
        <v>241</v>
      </c>
      <c r="C41" s="582"/>
      <c r="D41" s="582"/>
      <c r="E41" s="582"/>
      <c r="F41" s="582"/>
      <c r="G41" s="582"/>
      <c r="H41" s="582"/>
      <c r="I41" s="582"/>
      <c r="J41" s="582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</row>
    <row r="42" spans="1:33" ht="15.75" customHeight="1">
      <c r="A42" s="220"/>
      <c r="B42" s="220"/>
      <c r="C42" s="220"/>
      <c r="D42" s="572" t="s">
        <v>242</v>
      </c>
      <c r="E42" s="573"/>
      <c r="F42" s="573"/>
      <c r="G42" s="573"/>
      <c r="H42" s="573"/>
      <c r="I42" s="573"/>
      <c r="J42" s="573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</row>
    <row r="43" spans="1:33" ht="15.75" customHeight="1">
      <c r="A43" s="220"/>
      <c r="B43" s="220"/>
      <c r="C43" s="328">
        <f ca="1">Q17/Q18</f>
        <v>222.43520461219708</v>
      </c>
      <c r="D43" s="323">
        <v>8.1999999999999993</v>
      </c>
      <c r="E43" s="323">
        <v>8.6999999999999993</v>
      </c>
      <c r="F43" s="323">
        <v>9.1999999999999993</v>
      </c>
      <c r="G43" s="323">
        <v>9.6999999999999993</v>
      </c>
      <c r="H43" s="323">
        <v>10.199999999999999</v>
      </c>
      <c r="I43" s="323">
        <v>10.7</v>
      </c>
      <c r="J43" s="324">
        <v>11.2</v>
      </c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</row>
    <row r="44" spans="1:33" ht="15.75" customHeight="1">
      <c r="A44" s="220"/>
      <c r="B44" s="574" t="s">
        <v>237</v>
      </c>
      <c r="C44" s="474">
        <v>7.6999999999999999E-2</v>
      </c>
      <c r="D44" s="484">
        <f t="dataTable" ref="D44:J50" dt2D="1" dtr="1" r1="Q8" r2="D33" ca="1"/>
        <v>234.89432794624383</v>
      </c>
      <c r="E44" s="484">
        <v>247.24225579478826</v>
      </c>
      <c r="F44" s="484">
        <v>259.59018364333275</v>
      </c>
      <c r="G44" s="484">
        <v>271.93811149187724</v>
      </c>
      <c r="H44" s="484">
        <v>284.28603934042167</v>
      </c>
      <c r="I44" s="484">
        <v>296.63396718896615</v>
      </c>
      <c r="J44" s="479">
        <v>308.98189503751064</v>
      </c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</row>
    <row r="45" spans="1:33" ht="15.75" customHeight="1">
      <c r="A45" s="220"/>
      <c r="B45" s="575"/>
      <c r="C45" s="474">
        <v>8.2000000000000003E-2</v>
      </c>
      <c r="D45" s="484">
        <v>231.07841079232665</v>
      </c>
      <c r="E45" s="485">
        <v>243.19967320227101</v>
      </c>
      <c r="F45" s="488">
        <v>255.32093561221538</v>
      </c>
      <c r="G45" s="488">
        <v>267.44219802215969</v>
      </c>
      <c r="H45" s="488">
        <v>279.56346043210402</v>
      </c>
      <c r="I45" s="489">
        <v>291.68472284204842</v>
      </c>
      <c r="J45" s="479">
        <v>303.80598525199275</v>
      </c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</row>
    <row r="46" spans="1:33" ht="15.75" customHeight="1">
      <c r="A46" s="220"/>
      <c r="B46" s="575"/>
      <c r="C46" s="474">
        <v>8.6999999999999994E-2</v>
      </c>
      <c r="D46" s="484">
        <v>227.34959785989622</v>
      </c>
      <c r="E46" s="486">
        <v>239.24937204141145</v>
      </c>
      <c r="F46" s="493">
        <v>251.14914622292673</v>
      </c>
      <c r="G46" s="494">
        <v>263.04892040444196</v>
      </c>
      <c r="H46" s="495">
        <v>274.94869458595718</v>
      </c>
      <c r="I46" s="490">
        <v>286.84846876747253</v>
      </c>
      <c r="J46" s="479">
        <v>298.74824294898775</v>
      </c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</row>
    <row r="47" spans="1:33" ht="15.75" customHeight="1">
      <c r="A47" s="220"/>
      <c r="B47" s="575"/>
      <c r="C47" s="474">
        <f>WACC!$J$23</f>
        <v>0.11887837874600321</v>
      </c>
      <c r="D47" s="484">
        <v>205.47444290229728</v>
      </c>
      <c r="E47" s="486">
        <v>216.07491897098467</v>
      </c>
      <c r="F47" s="496">
        <v>226.67539503967203</v>
      </c>
      <c r="G47" s="480">
        <v>237.27587110835938</v>
      </c>
      <c r="H47" s="500">
        <v>247.87634717704674</v>
      </c>
      <c r="I47" s="490">
        <v>258.47682324573412</v>
      </c>
      <c r="J47" s="479">
        <v>269.07729931442145</v>
      </c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</row>
    <row r="48" spans="1:33" ht="15.75" customHeight="1">
      <c r="A48" s="220"/>
      <c r="B48" s="575"/>
      <c r="C48" s="474">
        <v>9.7000000000000003E-2</v>
      </c>
      <c r="D48" s="484">
        <v>220.14385901002291</v>
      </c>
      <c r="E48" s="486">
        <v>231.61562781852263</v>
      </c>
      <c r="F48" s="497">
        <v>243.08739662702234</v>
      </c>
      <c r="G48" s="498">
        <v>254.55916543552203</v>
      </c>
      <c r="H48" s="499">
        <v>266.03093424402175</v>
      </c>
      <c r="I48" s="490">
        <v>277.50270305252155</v>
      </c>
      <c r="J48" s="479">
        <v>288.97447186102124</v>
      </c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</row>
    <row r="49" spans="1:33" ht="15.75" customHeight="1">
      <c r="A49" s="220"/>
      <c r="B49" s="575"/>
      <c r="C49" s="474">
        <v>0.10199999999999999</v>
      </c>
      <c r="D49" s="484">
        <v>216.66240563703496</v>
      </c>
      <c r="E49" s="487">
        <v>227.92738805625166</v>
      </c>
      <c r="F49" s="492">
        <v>239.19237047546841</v>
      </c>
      <c r="G49" s="492">
        <v>250.4573528946851</v>
      </c>
      <c r="H49" s="492">
        <v>261.72233531390179</v>
      </c>
      <c r="I49" s="491">
        <v>272.98731773311857</v>
      </c>
      <c r="J49" s="479">
        <v>284.25230015233529</v>
      </c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</row>
    <row r="50" spans="1:33" ht="15.75" customHeight="1">
      <c r="A50" s="220"/>
      <c r="B50" s="575"/>
      <c r="C50" s="474">
        <v>0.107</v>
      </c>
      <c r="D50" s="482">
        <v>213.25899626127932</v>
      </c>
      <c r="E50" s="482">
        <v>224.3218306957809</v>
      </c>
      <c r="F50" s="482">
        <v>235.38466513028251</v>
      </c>
      <c r="G50" s="482">
        <v>246.4474995647841</v>
      </c>
      <c r="H50" s="482">
        <v>257.51033399928571</v>
      </c>
      <c r="I50" s="482">
        <v>268.57316843378732</v>
      </c>
      <c r="J50" s="483">
        <v>279.63600286828887</v>
      </c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</row>
    <row r="51" spans="1:33" ht="15.75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</row>
    <row r="52" spans="1:33" ht="15.75" customHeight="1">
      <c r="A52" s="220"/>
      <c r="B52" s="581" t="s">
        <v>243</v>
      </c>
      <c r="C52" s="582"/>
      <c r="D52" s="582"/>
      <c r="E52" s="582"/>
      <c r="F52" s="582"/>
      <c r="G52" s="582"/>
      <c r="H52" s="582"/>
      <c r="I52" s="582"/>
      <c r="J52" s="582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</row>
    <row r="53" spans="1:33" ht="15.75" customHeight="1">
      <c r="A53" s="220"/>
      <c r="B53" s="220"/>
      <c r="C53" s="220"/>
      <c r="D53" s="585" t="s">
        <v>244</v>
      </c>
      <c r="E53" s="586"/>
      <c r="F53" s="586"/>
      <c r="G53" s="586"/>
      <c r="H53" s="586"/>
      <c r="I53" s="586"/>
      <c r="J53" s="586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  <c r="AB53" s="220"/>
      <c r="AC53" s="220"/>
      <c r="AD53" s="220"/>
      <c r="AE53" s="220"/>
      <c r="AF53" s="220"/>
      <c r="AG53" s="220"/>
    </row>
    <row r="54" spans="1:33" ht="15.75" customHeight="1">
      <c r="A54" s="220"/>
      <c r="B54" s="220"/>
      <c r="C54" s="327">
        <f ca="1">V17/V18</f>
        <v>74.441794065276454</v>
      </c>
      <c r="D54" s="325">
        <v>1.7500000000000002E-2</v>
      </c>
      <c r="E54" s="325">
        <v>0.02</v>
      </c>
      <c r="F54" s="325">
        <v>2.2499999999999999E-2</v>
      </c>
      <c r="G54" s="326">
        <v>2.5000000000000001E-2</v>
      </c>
      <c r="H54" s="325">
        <v>2.75E-2</v>
      </c>
      <c r="I54" s="325">
        <v>0.03</v>
      </c>
      <c r="J54" s="325">
        <v>3.2500000000000001E-2</v>
      </c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</row>
    <row r="55" spans="1:33" ht="15.75" customHeight="1">
      <c r="A55" s="220"/>
      <c r="B55" s="587" t="s">
        <v>237</v>
      </c>
      <c r="C55" s="474">
        <v>7.6999999999999999E-2</v>
      </c>
      <c r="D55" s="475">
        <f t="dataTable" ref="D55:J61" dt2D="1" dtr="1" r1="V8" r2="D33" ca="1"/>
        <v>110.50169276711257</v>
      </c>
      <c r="E55" s="476">
        <v>114.12806079656842</v>
      </c>
      <c r="F55" s="476">
        <v>118.08712314065325</v>
      </c>
      <c r="G55" s="476">
        <v>122.42686455628471</v>
      </c>
      <c r="H55" s="476">
        <v>127.20496369066684</v>
      </c>
      <c r="I55" s="476">
        <v>132.49137124360024</v>
      </c>
      <c r="J55" s="477">
        <v>138.37175717326775</v>
      </c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20"/>
      <c r="AF55" s="220"/>
      <c r="AG55" s="220"/>
    </row>
    <row r="56" spans="1:33" ht="15.75" customHeight="1">
      <c r="A56" s="220"/>
      <c r="B56" s="580"/>
      <c r="C56" s="474">
        <v>8.2000000000000003E-2</v>
      </c>
      <c r="D56" s="478">
        <v>103.02504966351259</v>
      </c>
      <c r="E56" s="485">
        <v>106.05808606165016</v>
      </c>
      <c r="F56" s="488">
        <v>109.34599946803456</v>
      </c>
      <c r="G56" s="488">
        <v>112.92232633111941</v>
      </c>
      <c r="H56" s="488">
        <v>116.82675657613862</v>
      </c>
      <c r="I56" s="489">
        <v>121.10661280625584</v>
      </c>
      <c r="J56" s="479">
        <v>125.81877774648591</v>
      </c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  <c r="AB56" s="220"/>
      <c r="AC56" s="220"/>
      <c r="AD56" s="220"/>
      <c r="AE56" s="220"/>
      <c r="AF56" s="220"/>
      <c r="AG56" s="220"/>
    </row>
    <row r="57" spans="1:33" ht="15.75" customHeight="1">
      <c r="A57" s="220"/>
      <c r="B57" s="580"/>
      <c r="C57" s="474">
        <v>8.6999999999999994E-2</v>
      </c>
      <c r="D57" s="478">
        <v>96.640231693335977</v>
      </c>
      <c r="E57" s="486">
        <v>99.209222611814297</v>
      </c>
      <c r="F57" s="493">
        <v>101.97736011312035</v>
      </c>
      <c r="G57" s="494">
        <v>104.96873450969308</v>
      </c>
      <c r="H57" s="495">
        <v>108.21148490597778</v>
      </c>
      <c r="I57" s="490">
        <v>111.73868709141027</v>
      </c>
      <c r="J57" s="479">
        <v>115.58948580761637</v>
      </c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</row>
    <row r="58" spans="1:33" ht="15.75" customHeight="1">
      <c r="A58" s="220"/>
      <c r="B58" s="580"/>
      <c r="C58" s="474">
        <f>WACC!$J$23</f>
        <v>0.11887837874600321</v>
      </c>
      <c r="D58" s="478">
        <v>70.984212006846207</v>
      </c>
      <c r="E58" s="486">
        <v>72.078459310598717</v>
      </c>
      <c r="F58" s="496">
        <v>73.229474912282257</v>
      </c>
      <c r="G58" s="480">
        <v>74.441794065276454</v>
      </c>
      <c r="H58" s="500">
        <v>75.720448338768051</v>
      </c>
      <c r="I58" s="490">
        <v>77.071035420414574</v>
      </c>
      <c r="J58" s="479">
        <v>78.499801040559575</v>
      </c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</row>
    <row r="59" spans="1:33" ht="15.75" customHeight="1">
      <c r="A59" s="220"/>
      <c r="B59" s="580"/>
      <c r="C59" s="474">
        <v>9.7000000000000003E-2</v>
      </c>
      <c r="D59" s="478">
        <v>86.320824397942431</v>
      </c>
      <c r="E59" s="486">
        <v>88.222047452618853</v>
      </c>
      <c r="F59" s="497">
        <v>90.250869370025228</v>
      </c>
      <c r="G59" s="498">
        <v>92.420581698362597</v>
      </c>
      <c r="H59" s="499">
        <v>94.746388438810612</v>
      </c>
      <c r="I59" s="490">
        <v>97.245762846456216</v>
      </c>
      <c r="J59" s="479">
        <v>99.938887208182862</v>
      </c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</row>
    <row r="60" spans="1:33" ht="15.75" customHeight="1">
      <c r="A60" s="220"/>
      <c r="B60" s="580"/>
      <c r="C60" s="474">
        <v>0.10199999999999999</v>
      </c>
      <c r="D60" s="478">
        <v>82.095708822489172</v>
      </c>
      <c r="E60" s="487">
        <v>83.752605639663926</v>
      </c>
      <c r="F60" s="492">
        <v>85.513709803830821</v>
      </c>
      <c r="G60" s="492">
        <v>87.389171381255295</v>
      </c>
      <c r="H60" s="492">
        <v>89.390502863204915</v>
      </c>
      <c r="I60" s="491">
        <v>91.53081569806767</v>
      </c>
      <c r="J60" s="479">
        <v>93.825107873568086</v>
      </c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</row>
    <row r="61" spans="1:33" ht="15.75" customHeight="1">
      <c r="A61" s="220"/>
      <c r="B61" s="220"/>
      <c r="C61" s="474">
        <v>0.107</v>
      </c>
      <c r="D61" s="481">
        <v>78.354081154017209</v>
      </c>
      <c r="E61" s="482">
        <v>79.808621117522264</v>
      </c>
      <c r="F61" s="482">
        <v>81.349228534489143</v>
      </c>
      <c r="G61" s="482">
        <v>82.983775428100358</v>
      </c>
      <c r="H61" s="482">
        <v>84.721124013133661</v>
      </c>
      <c r="I61" s="482">
        <v>86.571287441350961</v>
      </c>
      <c r="J61" s="483">
        <v>88.545622911730433</v>
      </c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</row>
    <row r="62" spans="1:33" ht="15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</row>
    <row r="63" spans="1:33" ht="15.75" customHeight="1">
      <c r="A63" s="220"/>
      <c r="B63" s="216"/>
      <c r="C63" s="521" t="s">
        <v>11</v>
      </c>
      <c r="D63" s="584" t="s">
        <v>245</v>
      </c>
      <c r="E63" s="584"/>
      <c r="F63" s="584"/>
      <c r="G63" s="584"/>
      <c r="H63" s="584"/>
      <c r="I63" s="584"/>
      <c r="J63" s="584"/>
      <c r="K63" s="504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</row>
    <row r="64" spans="1:33" ht="15.75" customHeight="1">
      <c r="A64" s="220"/>
      <c r="B64" s="216"/>
      <c r="C64" s="505">
        <f>Cover!G21</f>
        <v>3</v>
      </c>
      <c r="D64" s="506">
        <v>0.22</v>
      </c>
      <c r="E64" s="517">
        <f>D64+0.02</f>
        <v>0.24</v>
      </c>
      <c r="F64" s="517">
        <f t="shared" ref="F64:J64" si="12">E64+0.02</f>
        <v>0.26</v>
      </c>
      <c r="G64" s="517">
        <f t="shared" si="12"/>
        <v>0.28000000000000003</v>
      </c>
      <c r="H64" s="517">
        <f t="shared" si="12"/>
        <v>0.30000000000000004</v>
      </c>
      <c r="I64" s="517">
        <f t="shared" si="12"/>
        <v>0.32000000000000006</v>
      </c>
      <c r="J64" s="517">
        <f t="shared" si="12"/>
        <v>0.34000000000000008</v>
      </c>
      <c r="K64" s="5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</row>
    <row r="65" spans="1:33" ht="15.75" customHeight="1">
      <c r="A65" s="220"/>
      <c r="B65" s="583" t="s">
        <v>246</v>
      </c>
      <c r="C65" s="507" t="s">
        <v>247</v>
      </c>
      <c r="D65" s="512">
        <f ca="1">Assumptions!$M$13*D64</f>
        <v>9788.311676000003</v>
      </c>
      <c r="E65" s="512">
        <f ca="1">Assumptions!$M$13*E64</f>
        <v>10678.158192000003</v>
      </c>
      <c r="F65" s="512">
        <f ca="1">Assumptions!$M$13*F64</f>
        <v>11568.004708000004</v>
      </c>
      <c r="G65" s="512">
        <f ca="1">Assumptions!$M$13*G64</f>
        <v>12457.851224000005</v>
      </c>
      <c r="H65" s="512">
        <f ca="1">Assumptions!$M$13*H64</f>
        <v>13347.697740000005</v>
      </c>
      <c r="I65" s="512">
        <f ca="1">Assumptions!$M$13*I64</f>
        <v>14237.544256000006</v>
      </c>
      <c r="J65" s="513">
        <f ca="1">Assumptions!$M$13*J64</f>
        <v>15127.390772000008</v>
      </c>
      <c r="K65" s="216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</row>
    <row r="66" spans="1:33" ht="15.75" customHeight="1">
      <c r="A66" s="220"/>
      <c r="B66" s="550"/>
      <c r="C66" s="507" t="s">
        <v>224</v>
      </c>
      <c r="D66" s="508">
        <f ca="1">D65*$J$12-SUM($J$14:$J$17)</f>
        <v>1768.8397546474803</v>
      </c>
      <c r="E66" s="508">
        <f t="shared" ref="E66:J66" ca="1" si="13">E65*$J$12-SUM($J$14:$J$17)</f>
        <v>2124.7783610474803</v>
      </c>
      <c r="F66" s="508">
        <f t="shared" ca="1" si="13"/>
        <v>2480.7169674474812</v>
      </c>
      <c r="G66" s="508">
        <f t="shared" ca="1" si="13"/>
        <v>2836.6555738474813</v>
      </c>
      <c r="H66" s="508">
        <f t="shared" ca="1" si="13"/>
        <v>3192.5941802474813</v>
      </c>
      <c r="I66" s="508">
        <f t="shared" ca="1" si="13"/>
        <v>3548.5327866474822</v>
      </c>
      <c r="J66" s="509">
        <f t="shared" ca="1" si="13"/>
        <v>3904.4713930474823</v>
      </c>
      <c r="K66" s="216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</row>
    <row r="67" spans="1:33" ht="15.75" customHeight="1">
      <c r="A67" s="220"/>
      <c r="B67" s="550"/>
      <c r="C67" s="507" t="s">
        <v>248</v>
      </c>
      <c r="D67" s="508">
        <f ca="1">D66*(1-$J$22)+$J$26-SUM($J$27:$J$28)</f>
        <v>772.18197824048139</v>
      </c>
      <c r="E67" s="508">
        <f t="shared" ref="E67:J67" ca="1" si="14">E66*(1-$J$22)+$J$26-SUM($J$27:$J$28)</f>
        <v>1053.3734772964813</v>
      </c>
      <c r="F67" s="508">
        <f t="shared" ca="1" si="14"/>
        <v>1334.5649763524821</v>
      </c>
      <c r="G67" s="508">
        <f t="shared" ca="1" si="14"/>
        <v>1615.7564754084819</v>
      </c>
      <c r="H67" s="508">
        <f t="shared" ca="1" si="14"/>
        <v>1896.9479744644818</v>
      </c>
      <c r="I67" s="508">
        <f t="shared" ca="1" si="14"/>
        <v>2178.1394735204826</v>
      </c>
      <c r="J67" s="509">
        <f t="shared" ca="1" si="14"/>
        <v>2459.330972576483</v>
      </c>
      <c r="K67" s="216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</row>
    <row r="68" spans="1:33" ht="15.75" customHeight="1">
      <c r="A68" s="220"/>
      <c r="B68" s="550"/>
      <c r="C68" s="510"/>
      <c r="D68" s="508">
        <f ca="1">$J$35*D67</f>
        <v>492.70632232031409</v>
      </c>
      <c r="E68" s="508">
        <f t="shared" ref="E68:J68" ca="1" si="15">$J$35*E67</f>
        <v>672.12624310545141</v>
      </c>
      <c r="F68" s="508">
        <f t="shared" ca="1" si="15"/>
        <v>851.54616389058924</v>
      </c>
      <c r="G68" s="508">
        <f t="shared" ca="1" si="15"/>
        <v>1030.9660846757265</v>
      </c>
      <c r="H68" s="508">
        <f t="shared" ca="1" si="15"/>
        <v>1210.3860054608638</v>
      </c>
      <c r="I68" s="508">
        <f t="shared" ca="1" si="15"/>
        <v>1389.8059262460017</v>
      </c>
      <c r="J68" s="509">
        <f t="shared" ca="1" si="15"/>
        <v>1569.2258470311394</v>
      </c>
      <c r="K68" s="216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</row>
    <row r="69" spans="1:33" ht="15.75" customHeight="1" thickBot="1">
      <c r="A69" s="220"/>
      <c r="B69" s="550"/>
      <c r="C69" s="514" t="s">
        <v>249</v>
      </c>
      <c r="D69" s="515">
        <f ca="1">D66+$J$16</f>
        <v>2682.0211162830005</v>
      </c>
      <c r="E69" s="515">
        <f t="shared" ref="E69:J69" ca="1" si="16">E66+$J$16</f>
        <v>3037.9597226830006</v>
      </c>
      <c r="F69" s="515">
        <f t="shared" ca="1" si="16"/>
        <v>3393.8983290830015</v>
      </c>
      <c r="G69" s="515">
        <f t="shared" ca="1" si="16"/>
        <v>3749.8369354830015</v>
      </c>
      <c r="H69" s="515">
        <f t="shared" ca="1" si="16"/>
        <v>4105.775541883002</v>
      </c>
      <c r="I69" s="515">
        <f t="shared" ca="1" si="16"/>
        <v>4461.7141482830029</v>
      </c>
      <c r="J69" s="516">
        <f t="shared" ca="1" si="16"/>
        <v>4817.6527546830021</v>
      </c>
      <c r="K69" s="216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</row>
    <row r="70" spans="1:33" ht="15.75" customHeight="1" thickTop="1">
      <c r="A70" s="220"/>
      <c r="B70" s="550"/>
      <c r="C70" s="511" t="s">
        <v>250</v>
      </c>
      <c r="D70" s="518">
        <f ca="1">(D69*$Q$8*$Q$10+$Q$12-$Q$15+$Q$16)/$Q$18</f>
        <v>158.30626475154833</v>
      </c>
      <c r="E70" s="518">
        <f t="shared" ref="E70:J70" ca="1" si="17">(E69*$Q$8*$Q$10+$Q$12-$Q$15+$Q$16)/$Q$18</f>
        <v>177.32044534697056</v>
      </c>
      <c r="F70" s="518">
        <f t="shared" ca="1" si="17"/>
        <v>196.33462594239285</v>
      </c>
      <c r="G70" s="518">
        <f t="shared" ca="1" si="17"/>
        <v>215.34880653781516</v>
      </c>
      <c r="H70" s="518">
        <f t="shared" ca="1" si="17"/>
        <v>234.36298713323745</v>
      </c>
      <c r="I70" s="518">
        <f t="shared" ca="1" si="17"/>
        <v>253.37716772865977</v>
      </c>
      <c r="J70" s="519">
        <f t="shared" ca="1" si="17"/>
        <v>272.391348324082</v>
      </c>
      <c r="K70" s="216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</row>
    <row r="71" spans="1:33" ht="15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</row>
    <row r="72" spans="1:33" ht="15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</row>
    <row r="73" spans="1:33" ht="15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</row>
    <row r="74" spans="1:33" ht="15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</row>
    <row r="75" spans="1:33" ht="15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</row>
    <row r="76" spans="1:33" ht="15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</row>
    <row r="77" spans="1:33" ht="15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</row>
    <row r="78" spans="1:33" ht="15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</row>
    <row r="79" spans="1:33" ht="15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</row>
    <row r="80" spans="1:33" ht="15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</row>
    <row r="81" spans="1:33" ht="15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</row>
    <row r="82" spans="1:33" ht="15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</row>
    <row r="83" spans="1:33" ht="15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</row>
    <row r="84" spans="1:33" ht="15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</row>
    <row r="85" spans="1:33" ht="15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</row>
    <row r="86" spans="1:33" ht="15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</row>
    <row r="87" spans="1:33" ht="15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</row>
    <row r="88" spans="1:33" ht="15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</row>
    <row r="89" spans="1:33" ht="15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</row>
    <row r="90" spans="1:33" ht="15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</row>
    <row r="91" spans="1:33" ht="15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</row>
    <row r="92" spans="1:33" ht="15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</row>
    <row r="93" spans="1:33" ht="15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</row>
    <row r="94" spans="1:33" ht="15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</row>
    <row r="95" spans="1:33" ht="15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</row>
    <row r="96" spans="1:33" ht="15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</row>
    <row r="97" spans="1:33" ht="15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</row>
    <row r="98" spans="1:33" ht="15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</row>
    <row r="99" spans="1:33" ht="15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</row>
    <row r="100" spans="1:33" ht="15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</row>
    <row r="101" spans="1:33" ht="15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</row>
    <row r="102" spans="1:33" ht="15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</row>
    <row r="103" spans="1:33" ht="15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</row>
    <row r="104" spans="1:33" ht="15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</row>
    <row r="105" spans="1:33" ht="15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</row>
    <row r="106" spans="1:33" ht="15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</row>
    <row r="107" spans="1:33" ht="15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</row>
    <row r="108" spans="1:33" ht="15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</row>
    <row r="109" spans="1:33" ht="15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</row>
    <row r="110" spans="1:33" ht="15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</row>
    <row r="111" spans="1:33" ht="15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</row>
    <row r="112" spans="1:33" ht="15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</row>
    <row r="113" spans="1:33" ht="15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</row>
    <row r="114" spans="1:33" ht="15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</row>
    <row r="115" spans="1:33" ht="15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</row>
    <row r="116" spans="1:33" ht="15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</row>
    <row r="117" spans="1:33" ht="15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</row>
    <row r="118" spans="1:33" ht="15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</row>
    <row r="119" spans="1:33" ht="15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</row>
    <row r="120" spans="1:33" ht="15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</row>
    <row r="121" spans="1:33" ht="15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</row>
    <row r="122" spans="1:33" ht="15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</row>
    <row r="123" spans="1:33" ht="15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</row>
    <row r="124" spans="1:33" ht="15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</row>
    <row r="125" spans="1:33" ht="15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</row>
    <row r="126" spans="1:33" ht="15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</row>
    <row r="127" spans="1:33" ht="15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</row>
    <row r="128" spans="1:33" ht="15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</row>
    <row r="129" spans="1:33" ht="15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</row>
    <row r="130" spans="1:33" ht="15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</row>
    <row r="131" spans="1:33" ht="15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</row>
    <row r="132" spans="1:33" ht="15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</row>
    <row r="133" spans="1:33" ht="15.7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</row>
    <row r="134" spans="1:33" ht="15.7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</row>
    <row r="135" spans="1:33" ht="15.7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</row>
    <row r="136" spans="1:33" ht="15.7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</row>
    <row r="137" spans="1:33" ht="15.7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</row>
    <row r="138" spans="1:33" ht="15.7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</row>
    <row r="139" spans="1:33" ht="15.7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</row>
    <row r="140" spans="1:33" ht="15.7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</row>
    <row r="141" spans="1:33" ht="15.7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</row>
    <row r="142" spans="1:33" ht="15.7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</row>
    <row r="143" spans="1:33" ht="15.7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</row>
    <row r="144" spans="1:33" ht="15.7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</row>
    <row r="145" spans="1:33" ht="15.7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</row>
    <row r="146" spans="1:33" ht="15.7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</row>
    <row r="147" spans="1:33" ht="15.7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</row>
    <row r="148" spans="1:33" ht="15.7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</row>
    <row r="149" spans="1:33" ht="15.7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</row>
    <row r="150" spans="1:33" ht="15.7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</row>
    <row r="151" spans="1:33" ht="15.7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</row>
    <row r="152" spans="1:33" ht="15.7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</row>
    <row r="153" spans="1:33" ht="15.7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</row>
    <row r="154" spans="1:33" ht="15.7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</row>
    <row r="155" spans="1:33" ht="15.7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</row>
    <row r="156" spans="1:33" ht="15.7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</row>
    <row r="157" spans="1:33" ht="15.7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</row>
    <row r="158" spans="1:33" ht="15.7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</row>
    <row r="159" spans="1:33" ht="15.7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</row>
    <row r="160" spans="1:33" ht="15.7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</row>
    <row r="161" spans="1:33" ht="15.7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</row>
    <row r="162" spans="1:33" ht="15.7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</row>
    <row r="163" spans="1:33" ht="15.7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</row>
    <row r="164" spans="1:33" ht="15.7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</row>
    <row r="165" spans="1:33" ht="15.7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</row>
    <row r="166" spans="1:33" ht="15.7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</row>
    <row r="167" spans="1:33" ht="15.7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</row>
    <row r="168" spans="1:33" ht="15.7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</row>
    <row r="169" spans="1:33" ht="15.7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</row>
    <row r="170" spans="1:33" ht="15.7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</row>
    <row r="171" spans="1:33" ht="15.7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</row>
    <row r="172" spans="1:33" ht="15.7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</row>
    <row r="173" spans="1:33" ht="15.7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</row>
    <row r="174" spans="1:33" ht="15.7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</row>
    <row r="175" spans="1:33" ht="15.7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</row>
    <row r="176" spans="1:33" ht="15.7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</row>
    <row r="177" spans="1:33" ht="15.7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</row>
    <row r="178" spans="1:33" ht="15.7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</row>
    <row r="179" spans="1:33" ht="15.7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</row>
    <row r="180" spans="1:33" ht="15.7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</row>
    <row r="181" spans="1:33" ht="15.7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</row>
    <row r="182" spans="1:33" ht="15.7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</row>
    <row r="183" spans="1:33" ht="15.7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</row>
    <row r="184" spans="1:33" ht="15.7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</row>
    <row r="185" spans="1:33" ht="15.7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</row>
    <row r="186" spans="1:33" ht="15.7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</row>
    <row r="187" spans="1:33" ht="15.7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</row>
    <row r="188" spans="1:33" ht="15.7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</row>
    <row r="189" spans="1:33" ht="15.7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</row>
    <row r="190" spans="1:33" ht="15.7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</row>
    <row r="191" spans="1:33" ht="15.7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</row>
    <row r="192" spans="1:33" ht="15.7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</row>
    <row r="193" spans="1:33" ht="15.7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</row>
    <row r="194" spans="1:33" ht="15.7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</row>
    <row r="195" spans="1:33" ht="15.7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</row>
    <row r="196" spans="1:33" ht="15.7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</row>
    <row r="197" spans="1:33" ht="15.7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</row>
    <row r="198" spans="1:33" ht="15.7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</row>
    <row r="199" spans="1:33" ht="15.7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</row>
    <row r="200" spans="1:33" ht="15.7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</row>
    <row r="201" spans="1:33" ht="15.7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</row>
    <row r="202" spans="1:33" ht="15.7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</row>
    <row r="203" spans="1:33" ht="15.7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</row>
    <row r="204" spans="1:33" ht="15.7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</row>
    <row r="205" spans="1:33" ht="15.7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</row>
    <row r="206" spans="1:33" ht="15.7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</row>
    <row r="207" spans="1:33" ht="15.7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</row>
    <row r="208" spans="1:33" ht="15.7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</row>
    <row r="209" spans="1:33" ht="15.7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</row>
    <row r="210" spans="1:33" ht="15.7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</row>
    <row r="211" spans="1:33" ht="15.7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</row>
    <row r="212" spans="1:33" ht="15.7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</row>
    <row r="213" spans="1:33" ht="15.7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</row>
    <row r="214" spans="1:33" ht="15.7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</row>
    <row r="215" spans="1:33" ht="15.7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</row>
    <row r="216" spans="1:33" ht="15.7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</row>
    <row r="217" spans="1:33" ht="15.7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</row>
    <row r="218" spans="1:33" ht="15.7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</row>
    <row r="219" spans="1:33" ht="15.7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</row>
    <row r="220" spans="1:33" ht="15.7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</row>
    <row r="221" spans="1:33" ht="15.7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</row>
    <row r="222" spans="1:33" ht="15.7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</row>
    <row r="223" spans="1:33" ht="15.7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</row>
    <row r="224" spans="1:33" ht="15.7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</row>
    <row r="225" spans="1:33" ht="15.7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</row>
    <row r="226" spans="1:33" ht="15.7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</row>
    <row r="227" spans="1:33" ht="15.7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</row>
    <row r="228" spans="1:33" ht="15.7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</row>
    <row r="229" spans="1:33" ht="15.7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</row>
    <row r="230" spans="1:33" ht="15.7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</row>
    <row r="231" spans="1:33" ht="15.7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</row>
    <row r="232" spans="1:33" ht="15.7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</row>
    <row r="233" spans="1:33" ht="15.7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</row>
    <row r="234" spans="1:33" ht="15.7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</row>
    <row r="235" spans="1:33" ht="15.7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</row>
    <row r="236" spans="1:33" ht="15.7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</row>
    <row r="237" spans="1:33" ht="15.7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</row>
    <row r="238" spans="1:33" ht="15.7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</row>
    <row r="239" spans="1:33" ht="15.7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</row>
    <row r="240" spans="1:33" ht="15.7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</row>
    <row r="241" spans="1:33" ht="15.7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</row>
    <row r="242" spans="1:33" ht="15.7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</row>
    <row r="243" spans="1:33" ht="15.7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</row>
    <row r="244" spans="1:33" ht="15.7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</row>
    <row r="245" spans="1:33" ht="15.7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</row>
    <row r="246" spans="1:33" ht="15.7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</row>
    <row r="247" spans="1:33" ht="15.7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</row>
    <row r="248" spans="1:33" ht="15.7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</row>
    <row r="249" spans="1:33" ht="15.7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</row>
    <row r="250" spans="1:33" ht="15.7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</row>
    <row r="251" spans="1:33" ht="15.7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</row>
    <row r="252" spans="1:33" ht="15.7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</row>
    <row r="253" spans="1:33" ht="15.7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</row>
    <row r="254" spans="1:33" ht="15.7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</row>
    <row r="255" spans="1:33" ht="15.7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</row>
    <row r="256" spans="1:33" ht="15.7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</row>
    <row r="257" spans="1:33" ht="15.7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</row>
    <row r="258" spans="1:33" ht="15.7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</row>
    <row r="259" spans="1:33" ht="15.7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</row>
    <row r="260" spans="1:33" ht="15.7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</row>
    <row r="261" spans="1:33" ht="15.7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</row>
    <row r="262" spans="1:33" ht="15.7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</row>
    <row r="263" spans="1:33" ht="15.7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</row>
    <row r="264" spans="1:33" ht="15.7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</row>
    <row r="265" spans="1:33" ht="15.7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</row>
    <row r="266" spans="1:33" ht="15.7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</row>
    <row r="267" spans="1:33" ht="15.7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</row>
    <row r="268" spans="1:33" ht="15.7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</row>
    <row r="269" spans="1:33" ht="15.7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</row>
    <row r="270" spans="1:33" ht="15.7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</row>
    <row r="271" spans="1:33" ht="15.7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</row>
    <row r="272" spans="1:33" ht="15.7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</row>
    <row r="273" spans="1:33" ht="15.7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</row>
    <row r="274" spans="1:33" ht="15.7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</row>
    <row r="275" spans="1:33" ht="15.7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</row>
    <row r="276" spans="1:33" ht="15.7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</row>
    <row r="277" spans="1:33" ht="15.7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</row>
    <row r="278" spans="1:33" ht="15.7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</row>
    <row r="279" spans="1:33" ht="15.7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</row>
    <row r="280" spans="1:33" ht="15.7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</row>
    <row r="281" spans="1:33" ht="15.7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</row>
    <row r="282" spans="1:33" ht="15.7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</row>
    <row r="283" spans="1:33" ht="15.7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</row>
    <row r="284" spans="1:33" ht="15.7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</row>
    <row r="285" spans="1:33" ht="15.7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</row>
    <row r="286" spans="1:33" ht="15.7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</row>
    <row r="287" spans="1:33" ht="15.7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</row>
    <row r="288" spans="1:33" ht="15.7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</row>
    <row r="289" spans="1:33" ht="15.7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</row>
    <row r="290" spans="1:33" ht="15.7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</row>
    <row r="291" spans="1:33" ht="15.7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</row>
    <row r="292" spans="1:33" ht="15.7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</row>
    <row r="293" spans="1:33" ht="15.7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</row>
    <row r="294" spans="1:33" ht="15.7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</row>
    <row r="295" spans="1:33" ht="15.7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</row>
    <row r="296" spans="1:33" ht="15.7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</row>
    <row r="297" spans="1:33" ht="15.7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</row>
    <row r="298" spans="1:33" ht="15.7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</row>
    <row r="299" spans="1:33" ht="15.7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</row>
    <row r="300" spans="1:33" ht="15.7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</row>
    <row r="301" spans="1:33" ht="15.7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</row>
    <row r="302" spans="1:33" ht="15.7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</row>
    <row r="303" spans="1:33" ht="15.7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</row>
    <row r="304" spans="1:33" ht="15.7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</row>
    <row r="305" spans="1:33" ht="15.7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220"/>
    </row>
    <row r="306" spans="1:33" ht="15.7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220"/>
    </row>
    <row r="307" spans="1:33" ht="15.7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220"/>
    </row>
    <row r="308" spans="1:33" ht="15.7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220"/>
    </row>
    <row r="309" spans="1:33" ht="15.7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</row>
    <row r="310" spans="1:33" ht="15.7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</row>
    <row r="311" spans="1:33" ht="15.7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</row>
    <row r="312" spans="1:33" ht="15.7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220"/>
    </row>
    <row r="313" spans="1:33" ht="15.7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220"/>
    </row>
    <row r="314" spans="1:33" ht="15.7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220"/>
    </row>
    <row r="315" spans="1:33" ht="15.7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220"/>
    </row>
    <row r="316" spans="1:33" ht="15.7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220"/>
    </row>
    <row r="317" spans="1:33" ht="15.7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220"/>
    </row>
    <row r="318" spans="1:33" ht="15.7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220"/>
    </row>
    <row r="319" spans="1:33" ht="15.7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220"/>
    </row>
    <row r="320" spans="1:33" ht="15.7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220"/>
    </row>
    <row r="321" spans="1:33" ht="15.7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</row>
    <row r="322" spans="1:33" ht="15.7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</row>
    <row r="323" spans="1:33" ht="15.7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</row>
    <row r="324" spans="1:33" ht="15.7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220"/>
    </row>
    <row r="325" spans="1:33" ht="15.7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</row>
    <row r="326" spans="1:33" ht="15.7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</row>
    <row r="327" spans="1:33" ht="15.7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</row>
    <row r="328" spans="1:33" ht="15.7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</row>
    <row r="329" spans="1:33" ht="15.7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</row>
    <row r="330" spans="1:33" ht="15.7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</row>
    <row r="331" spans="1:33" ht="15.7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</row>
    <row r="332" spans="1:33" ht="15.7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</row>
    <row r="333" spans="1:33" ht="15.7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</row>
    <row r="334" spans="1:33" ht="15.7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</row>
    <row r="335" spans="1:33" ht="15.7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</row>
    <row r="336" spans="1:33" ht="15.7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</row>
    <row r="337" spans="1:33" ht="15.7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</row>
    <row r="338" spans="1:33" ht="15.7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</row>
    <row r="339" spans="1:33" ht="15.7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</row>
    <row r="340" spans="1:33" ht="15.7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</row>
    <row r="341" spans="1:33" ht="15.7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</row>
    <row r="342" spans="1:33" ht="15.7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</row>
    <row r="343" spans="1:33" ht="15.7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</row>
    <row r="344" spans="1:33" ht="15.7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</row>
    <row r="345" spans="1:33" ht="15.7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</row>
    <row r="346" spans="1:33" ht="15.7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</row>
    <row r="347" spans="1:33" ht="15.7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</row>
    <row r="348" spans="1:33" ht="15.7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</row>
    <row r="349" spans="1:33" ht="15.7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</row>
    <row r="350" spans="1:33" ht="15.7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</row>
    <row r="351" spans="1:33" ht="15.7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</row>
    <row r="352" spans="1:33" ht="15.7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</row>
    <row r="353" spans="1:33" ht="15.7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</row>
    <row r="354" spans="1:33" ht="15.7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</row>
    <row r="355" spans="1:33" ht="15.7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</row>
    <row r="356" spans="1:33" ht="15.7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</row>
    <row r="357" spans="1:33" ht="15.7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</row>
    <row r="358" spans="1:33" ht="15.7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</row>
    <row r="359" spans="1:33" ht="15.7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</row>
    <row r="360" spans="1:33" ht="15.7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</row>
    <row r="361" spans="1:33" ht="15.7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</row>
    <row r="362" spans="1:33" ht="15.7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</row>
    <row r="363" spans="1:33" ht="15.7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</row>
    <row r="364" spans="1:33" ht="15.7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</row>
    <row r="365" spans="1:33" ht="15.7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</row>
    <row r="366" spans="1:33" ht="15.7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</row>
    <row r="367" spans="1:33" ht="15.7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</row>
    <row r="368" spans="1:33" ht="15.7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</row>
    <row r="369" spans="1:33" ht="15.7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</row>
    <row r="370" spans="1:33" ht="15.7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</row>
    <row r="371" spans="1:33" ht="15.7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</row>
    <row r="372" spans="1:33" ht="15.7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</row>
    <row r="373" spans="1:33" ht="15.7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</row>
    <row r="374" spans="1:33" ht="15.7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</row>
    <row r="375" spans="1:33" ht="15.7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</row>
    <row r="376" spans="1:33" ht="15.7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</row>
    <row r="377" spans="1:33" ht="15.7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</row>
    <row r="378" spans="1:33" ht="15.7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</row>
    <row r="379" spans="1:33" ht="15.7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</row>
    <row r="380" spans="1:33" ht="15.7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</row>
    <row r="381" spans="1:33" ht="15.7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</row>
    <row r="382" spans="1:33" ht="15.7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</row>
    <row r="383" spans="1:33" ht="15.7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</row>
    <row r="384" spans="1:33" ht="15.7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</row>
    <row r="385" spans="1:33" ht="15.7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</row>
    <row r="386" spans="1:33" ht="15.7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</row>
    <row r="387" spans="1:33" ht="15.7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</row>
    <row r="388" spans="1:33" ht="15.7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</row>
    <row r="389" spans="1:33" ht="15.7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</row>
    <row r="390" spans="1:33" ht="15.7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</row>
    <row r="391" spans="1:33" ht="15.7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</row>
    <row r="392" spans="1:33" ht="15.7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</row>
    <row r="393" spans="1:33" ht="15.7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</row>
    <row r="394" spans="1:33" ht="15.7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</row>
    <row r="395" spans="1:33" ht="15.7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</row>
    <row r="396" spans="1:33" ht="15.7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</row>
    <row r="397" spans="1:33" ht="15.7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</row>
    <row r="398" spans="1:33" ht="15.7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</row>
    <row r="399" spans="1:33" ht="15.7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</row>
    <row r="400" spans="1:33" ht="15.7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</row>
    <row r="401" spans="1:33" ht="15.7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</row>
    <row r="402" spans="1:33" ht="15.7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</row>
    <row r="403" spans="1:33" ht="15.7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</row>
    <row r="404" spans="1:33" ht="15.7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</row>
    <row r="405" spans="1:33" ht="15.7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</row>
    <row r="406" spans="1:33" ht="15.7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</row>
    <row r="407" spans="1:33" ht="15.7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</row>
    <row r="408" spans="1:33" ht="15.7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</row>
    <row r="409" spans="1:33" ht="15.7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</row>
    <row r="410" spans="1:33" ht="15.7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</row>
    <row r="411" spans="1:33" ht="15.7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</row>
    <row r="412" spans="1:33" ht="15.7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</row>
    <row r="413" spans="1:33" ht="15.7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</row>
    <row r="414" spans="1:33" ht="15.7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</row>
    <row r="415" spans="1:33" ht="15.7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</row>
    <row r="416" spans="1:33" ht="15.7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</row>
    <row r="417" spans="1:33" ht="15.7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</row>
    <row r="418" spans="1:33" ht="15.7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</row>
    <row r="419" spans="1:33" ht="15.7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</row>
    <row r="420" spans="1:33" ht="15.7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</row>
    <row r="421" spans="1:33" ht="15.7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</row>
    <row r="422" spans="1:33" ht="15.7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</row>
    <row r="423" spans="1:33" ht="15.7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</row>
    <row r="424" spans="1:33" ht="15.7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</row>
    <row r="425" spans="1:33" ht="15.7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</row>
    <row r="426" spans="1:33" ht="15.7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</row>
    <row r="427" spans="1:33" ht="15.7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</row>
    <row r="428" spans="1:33" ht="15.7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</row>
    <row r="429" spans="1:33" ht="15.7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</row>
    <row r="430" spans="1:33" ht="15.7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</row>
    <row r="431" spans="1:33" ht="15.7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</row>
    <row r="432" spans="1:33" ht="15.7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</row>
    <row r="433" spans="1:33" ht="15.7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</row>
    <row r="434" spans="1:33" ht="15.7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</row>
    <row r="435" spans="1:33" ht="15.7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</row>
    <row r="436" spans="1:33" ht="15.7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</row>
    <row r="437" spans="1:33" ht="15.7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</row>
    <row r="438" spans="1:33" ht="15.7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</row>
    <row r="439" spans="1:33" ht="15.7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</row>
    <row r="440" spans="1:33" ht="15.7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</row>
    <row r="441" spans="1:33" ht="15.7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</row>
    <row r="442" spans="1:33" ht="15.7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</row>
    <row r="443" spans="1:33" ht="15.7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</row>
    <row r="444" spans="1:33" ht="15.7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</row>
    <row r="445" spans="1:33" ht="15.7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</row>
    <row r="446" spans="1:33" ht="15.7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</row>
    <row r="447" spans="1:33" ht="15.7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</row>
    <row r="448" spans="1:33" ht="15.7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</row>
    <row r="449" spans="1:33" ht="15.7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</row>
    <row r="450" spans="1:33" ht="15.7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</row>
    <row r="451" spans="1:33" ht="15.7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</row>
    <row r="452" spans="1:33" ht="15.7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</row>
    <row r="453" spans="1:33" ht="15.7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</row>
    <row r="454" spans="1:33" ht="15.7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</row>
    <row r="455" spans="1:33" ht="15.7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</row>
    <row r="456" spans="1:33" ht="15.7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</row>
    <row r="457" spans="1:33" ht="15.7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</row>
    <row r="458" spans="1:33" ht="15.7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</row>
    <row r="459" spans="1:33" ht="15.7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</row>
    <row r="460" spans="1:33" ht="15.7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</row>
    <row r="461" spans="1:33" ht="15.7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</row>
    <row r="462" spans="1:33" ht="15.7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</row>
    <row r="463" spans="1:33" ht="15.7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</row>
    <row r="464" spans="1:33" ht="15.7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</row>
    <row r="465" spans="1:33" ht="15.7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</row>
    <row r="466" spans="1:33" ht="15.7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</row>
    <row r="467" spans="1:33" ht="15.7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</row>
    <row r="468" spans="1:33" ht="15.7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</row>
    <row r="469" spans="1:33" ht="15.7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</row>
    <row r="470" spans="1:33" ht="15.7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</row>
    <row r="471" spans="1:33" ht="15.7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</row>
    <row r="472" spans="1:33" ht="15.7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</row>
    <row r="473" spans="1:33" ht="15.7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</row>
    <row r="474" spans="1:33" ht="15.7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</row>
    <row r="475" spans="1:33" ht="15.7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</row>
    <row r="476" spans="1:33" ht="15.7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</row>
    <row r="477" spans="1:33" ht="15.7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</row>
    <row r="478" spans="1:33" ht="15.7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</row>
    <row r="479" spans="1:33" ht="15.7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</row>
    <row r="480" spans="1:33" ht="15.7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</row>
    <row r="481" spans="1:33" ht="15.7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</row>
    <row r="482" spans="1:33" ht="15.7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</row>
    <row r="483" spans="1:33" ht="15.7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</row>
    <row r="484" spans="1:33" ht="15.7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</row>
    <row r="485" spans="1:33" ht="15.7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</row>
    <row r="486" spans="1:33" ht="15.7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</row>
    <row r="487" spans="1:33" ht="15.7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</row>
    <row r="488" spans="1:33" ht="15.7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</row>
    <row r="489" spans="1:33" ht="15.7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</row>
    <row r="490" spans="1:33" ht="15.7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</row>
    <row r="491" spans="1:33" ht="15.7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</row>
    <row r="492" spans="1:33" ht="15.7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</row>
    <row r="493" spans="1:33" ht="15.7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</row>
    <row r="494" spans="1:33" ht="15.7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</row>
    <row r="495" spans="1:33" ht="15.7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</row>
    <row r="496" spans="1:33" ht="15.7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</row>
    <row r="497" spans="1:33" ht="15.7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</row>
    <row r="498" spans="1:33" ht="15.7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</row>
    <row r="499" spans="1:33" ht="15.7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</row>
    <row r="500" spans="1:33" ht="15.7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</row>
    <row r="501" spans="1:33" ht="15.7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</row>
    <row r="502" spans="1:33" ht="15.7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</row>
    <row r="503" spans="1:33" ht="15.7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</row>
    <row r="504" spans="1:33" ht="15.7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</row>
    <row r="505" spans="1:33" ht="15.7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</row>
    <row r="506" spans="1:33" ht="15.7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</row>
    <row r="507" spans="1:33" ht="15.7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</row>
    <row r="508" spans="1:33" ht="15.7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</row>
    <row r="509" spans="1:33" ht="15.7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</row>
    <row r="510" spans="1:33" ht="15.7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</row>
    <row r="511" spans="1:33" ht="15.7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</row>
    <row r="512" spans="1:33" ht="15.7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</row>
    <row r="513" spans="1:33" ht="15.7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</row>
    <row r="514" spans="1:33" ht="15.7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</row>
    <row r="515" spans="1:33" ht="15.7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</row>
    <row r="516" spans="1:33" ht="15.7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</row>
    <row r="517" spans="1:33" ht="15.7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</row>
    <row r="518" spans="1:33" ht="15.7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</row>
    <row r="519" spans="1:33" ht="15.7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</row>
    <row r="520" spans="1:33" ht="15.7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</row>
    <row r="521" spans="1:33" ht="15.7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</row>
    <row r="522" spans="1:33" ht="15.7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</row>
    <row r="523" spans="1:33" ht="15.7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</row>
    <row r="524" spans="1:33" ht="15.7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</row>
    <row r="525" spans="1:33" ht="15.7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</row>
    <row r="526" spans="1:33" ht="15.7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</row>
    <row r="527" spans="1:33" ht="15.7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</row>
    <row r="528" spans="1:33" ht="15.7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</row>
    <row r="529" spans="1:33" ht="15.7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</row>
    <row r="530" spans="1:33" ht="15.7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</row>
    <row r="531" spans="1:33" ht="15.7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</row>
    <row r="532" spans="1:33" ht="15.7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</row>
    <row r="533" spans="1:33" ht="15.7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</row>
    <row r="534" spans="1:33" ht="15.7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</row>
    <row r="535" spans="1:33" ht="15.7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</row>
    <row r="536" spans="1:33" ht="15.7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</row>
    <row r="537" spans="1:33" ht="15.7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</row>
    <row r="538" spans="1:33" ht="15.7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</row>
    <row r="539" spans="1:33" ht="15.7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</row>
    <row r="540" spans="1:33" ht="15.7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</row>
    <row r="541" spans="1:33" ht="15.7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</row>
    <row r="542" spans="1:33" ht="15.7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</row>
    <row r="543" spans="1:33" ht="15.7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</row>
    <row r="544" spans="1:33" ht="15.7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</row>
    <row r="545" spans="1:33" ht="15.7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</row>
    <row r="546" spans="1:33" ht="15.7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</row>
    <row r="547" spans="1:33" ht="15.7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</row>
    <row r="548" spans="1:33" ht="15.7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</row>
    <row r="549" spans="1:33" ht="15.7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</row>
    <row r="550" spans="1:33" ht="15.7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</row>
    <row r="551" spans="1:33" ht="15.7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</row>
    <row r="552" spans="1:33" ht="15.7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</row>
    <row r="553" spans="1:33" ht="15.7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</row>
    <row r="554" spans="1:33" ht="15.7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</row>
    <row r="555" spans="1:33" ht="15.7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</row>
    <row r="556" spans="1:33" ht="15.7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</row>
    <row r="557" spans="1:33" ht="15.7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</row>
    <row r="558" spans="1:33" ht="15.7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</row>
    <row r="559" spans="1:33" ht="15.7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</row>
    <row r="560" spans="1:33" ht="15.7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</row>
    <row r="561" spans="1:33" ht="15.7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</row>
    <row r="562" spans="1:33" ht="15.7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</row>
    <row r="563" spans="1:33" ht="15.7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</row>
    <row r="564" spans="1:33" ht="15.7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</row>
    <row r="565" spans="1:33" ht="15.7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</row>
    <row r="566" spans="1:33" ht="15.7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</row>
    <row r="567" spans="1:33" ht="15.7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</row>
    <row r="568" spans="1:33" ht="15.7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</row>
    <row r="569" spans="1:33" ht="15.7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</row>
    <row r="570" spans="1:33" ht="15.7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</row>
    <row r="571" spans="1:33" ht="15.7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</row>
    <row r="572" spans="1:33" ht="15.7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</row>
    <row r="573" spans="1:33" ht="15.7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</row>
    <row r="574" spans="1:33" ht="15.7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</row>
    <row r="575" spans="1:33" ht="15.7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</row>
    <row r="576" spans="1:33" ht="15.7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</row>
    <row r="577" spans="1:33" ht="15.7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</row>
    <row r="578" spans="1:33" ht="15.7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</row>
    <row r="579" spans="1:33" ht="15.7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</row>
    <row r="580" spans="1:33" ht="15.7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</row>
    <row r="581" spans="1:33" ht="15.7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</row>
    <row r="582" spans="1:33" ht="15.7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</row>
    <row r="583" spans="1:33" ht="15.7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</row>
    <row r="584" spans="1:33" ht="15.7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</row>
    <row r="585" spans="1:33" ht="15.7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</row>
    <row r="586" spans="1:33" ht="15.7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</row>
    <row r="587" spans="1:33" ht="15.7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</row>
    <row r="588" spans="1:33" ht="15.7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</row>
    <row r="589" spans="1:33" ht="15.7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</row>
    <row r="590" spans="1:33" ht="15.7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</row>
    <row r="591" spans="1:33" ht="15.7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</row>
    <row r="592" spans="1:33" ht="15.7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</row>
    <row r="593" spans="1:33" ht="15.7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</row>
    <row r="594" spans="1:33" ht="15.7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</row>
    <row r="595" spans="1:33" ht="15.7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</row>
    <row r="596" spans="1:33" ht="15.7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</row>
    <row r="597" spans="1:33" ht="15.7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</row>
    <row r="598" spans="1:33" ht="15.7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</row>
    <row r="599" spans="1:33" ht="15.7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</row>
    <row r="600" spans="1:33" ht="15.7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</row>
    <row r="601" spans="1:33" ht="15.7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</row>
    <row r="602" spans="1:33" ht="15.7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</row>
    <row r="603" spans="1:33" ht="15.7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</row>
    <row r="604" spans="1:33" ht="15.7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</row>
    <row r="605" spans="1:33" ht="15.7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</row>
    <row r="606" spans="1:33" ht="15.7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</row>
    <row r="607" spans="1:33" ht="15.7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</row>
    <row r="608" spans="1:33" ht="15.7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</row>
    <row r="609" spans="1:33" ht="15.7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</row>
    <row r="610" spans="1:33" ht="15.7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</row>
    <row r="611" spans="1:33" ht="15.7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</row>
    <row r="612" spans="1:33" ht="15.7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</row>
    <row r="613" spans="1:33" ht="15.7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</row>
    <row r="614" spans="1:33" ht="15.7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</row>
    <row r="615" spans="1:33" ht="15.7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</row>
    <row r="616" spans="1:33" ht="15.7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</row>
    <row r="617" spans="1:33" ht="15.7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</row>
    <row r="618" spans="1:33" ht="15.7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</row>
    <row r="619" spans="1:33" ht="15.7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</row>
    <row r="620" spans="1:33" ht="15.7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</row>
    <row r="621" spans="1:33" ht="15.7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</row>
    <row r="622" spans="1:33" ht="15.7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</row>
    <row r="623" spans="1:33" ht="15.7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</row>
    <row r="624" spans="1:33" ht="15.7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</row>
    <row r="625" spans="1:33" ht="15.7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</row>
    <row r="626" spans="1:33" ht="15.7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</row>
    <row r="627" spans="1:33" ht="15.7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</row>
    <row r="628" spans="1:33" ht="15.7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</row>
    <row r="629" spans="1:33" ht="15.7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</row>
    <row r="630" spans="1:33" ht="15.7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</row>
    <row r="631" spans="1:33" ht="15.7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</row>
    <row r="632" spans="1:33" ht="15.7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</row>
    <row r="633" spans="1:33" ht="15.7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</row>
    <row r="634" spans="1:33" ht="15.7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</row>
    <row r="635" spans="1:33" ht="15.7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</row>
    <row r="636" spans="1:33" ht="15.7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</row>
    <row r="637" spans="1:33" ht="15.7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</row>
    <row r="638" spans="1:33" ht="15.7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</row>
    <row r="639" spans="1:33" ht="15.7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</row>
    <row r="640" spans="1:33" ht="15.7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</row>
    <row r="641" spans="1:33" ht="15.7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</row>
    <row r="642" spans="1:33" ht="15.7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</row>
    <row r="643" spans="1:33" ht="15.7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</row>
    <row r="644" spans="1:33" ht="15.7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</row>
    <row r="645" spans="1:33" ht="15.7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</row>
    <row r="646" spans="1:33" ht="15.7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</row>
    <row r="647" spans="1:33" ht="15.7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</row>
    <row r="648" spans="1:33" ht="15.7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</row>
    <row r="649" spans="1:33" ht="15.7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</row>
    <row r="650" spans="1:33" ht="15.7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</row>
    <row r="651" spans="1:33" ht="15.7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</row>
    <row r="652" spans="1:33" ht="15.7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</row>
    <row r="653" spans="1:33" ht="15.7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</row>
    <row r="654" spans="1:33" ht="15.7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</row>
    <row r="655" spans="1:33" ht="15.7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</row>
    <row r="656" spans="1:33" ht="15.7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</row>
    <row r="657" spans="1:33" ht="15.7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</row>
    <row r="658" spans="1:33" ht="15.7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</row>
    <row r="659" spans="1:33" ht="15.7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</row>
    <row r="660" spans="1:33" ht="15.7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</row>
    <row r="661" spans="1:33" ht="15.7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</row>
    <row r="662" spans="1:33" ht="15.7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</row>
    <row r="663" spans="1:33" ht="15.7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</row>
    <row r="664" spans="1:33" ht="15.7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</row>
    <row r="665" spans="1:33" ht="15.7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</row>
    <row r="666" spans="1:33" ht="15.7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</row>
    <row r="667" spans="1:33" ht="15.7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</row>
    <row r="668" spans="1:33" ht="15.7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</row>
    <row r="669" spans="1:33" ht="15.7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</row>
    <row r="670" spans="1:33" ht="15.7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</row>
    <row r="671" spans="1:33" ht="15.7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</row>
    <row r="672" spans="1:33" ht="15.7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</row>
    <row r="673" spans="1:33" ht="15.7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</row>
    <row r="674" spans="1:33" ht="15.7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</row>
    <row r="675" spans="1:33" ht="15.7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</row>
    <row r="676" spans="1:33" ht="15.7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</row>
    <row r="677" spans="1:33" ht="15.7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</row>
    <row r="678" spans="1:33" ht="15.7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</row>
    <row r="679" spans="1:33" ht="15.7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</row>
    <row r="680" spans="1:33" ht="15.7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</row>
    <row r="681" spans="1:33" ht="15.7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</row>
    <row r="682" spans="1:33" ht="15.7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</row>
    <row r="683" spans="1:33" ht="15.7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</row>
    <row r="684" spans="1:33" ht="15.7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</row>
    <row r="685" spans="1:33" ht="15.7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</row>
    <row r="686" spans="1:33" ht="15.7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</row>
    <row r="687" spans="1:33" ht="15.7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</row>
    <row r="688" spans="1:33" ht="15.7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</row>
    <row r="689" spans="1:33" ht="15.7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</row>
    <row r="690" spans="1:33" ht="15.7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</row>
    <row r="691" spans="1:33" ht="15.7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</row>
    <row r="692" spans="1:33" ht="15.7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</row>
    <row r="693" spans="1:33" ht="15.7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</row>
    <row r="694" spans="1:33" ht="15.7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</row>
    <row r="695" spans="1:33" ht="15.7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</row>
    <row r="696" spans="1:33" ht="15.7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</row>
    <row r="697" spans="1:33" ht="15.7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</row>
    <row r="698" spans="1:33" ht="15.7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</row>
    <row r="699" spans="1:33" ht="15.7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</row>
    <row r="700" spans="1:33" ht="15.7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</row>
    <row r="701" spans="1:33" ht="15.7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</row>
    <row r="702" spans="1:33" ht="15.7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</row>
    <row r="703" spans="1:33" ht="15.7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</row>
    <row r="704" spans="1:33" ht="15.7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</row>
    <row r="705" spans="1:33" ht="15.7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</row>
    <row r="706" spans="1:33" ht="15.7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</row>
    <row r="707" spans="1:33" ht="15.7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</row>
    <row r="708" spans="1:33" ht="15.7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</row>
    <row r="709" spans="1:33" ht="15.7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</row>
    <row r="710" spans="1:33" ht="15.7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</row>
    <row r="711" spans="1:33" ht="15.7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</row>
    <row r="712" spans="1:33" ht="15.7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</row>
    <row r="713" spans="1:33" ht="15.7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</row>
    <row r="714" spans="1:33" ht="15.7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</row>
    <row r="715" spans="1:33" ht="15.7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</row>
    <row r="716" spans="1:33" ht="15.7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</row>
    <row r="717" spans="1:33" ht="15.7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</row>
    <row r="718" spans="1:33" ht="15.7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</row>
    <row r="719" spans="1:33" ht="15.7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</row>
    <row r="720" spans="1:33" ht="15.7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</row>
    <row r="721" spans="1:33" ht="15.7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</row>
    <row r="722" spans="1:33" ht="15.7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</row>
    <row r="723" spans="1:33" ht="15.7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</row>
    <row r="724" spans="1:33" ht="15.7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</row>
    <row r="725" spans="1:33" ht="15.7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</row>
    <row r="726" spans="1:33" ht="15.7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</row>
    <row r="727" spans="1:33" ht="15.7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</row>
    <row r="728" spans="1:33" ht="15.7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</row>
    <row r="729" spans="1:33" ht="15.7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</row>
    <row r="730" spans="1:33" ht="15.7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</row>
    <row r="731" spans="1:33" ht="15.7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</row>
    <row r="732" spans="1:33" ht="15.7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</row>
    <row r="733" spans="1:33" ht="15.7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</row>
    <row r="734" spans="1:33" ht="15.7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</row>
    <row r="735" spans="1:33" ht="15.7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</row>
    <row r="736" spans="1:33" ht="15.7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</row>
    <row r="737" spans="1:33" ht="15.7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</row>
    <row r="738" spans="1:33" ht="15.7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</row>
    <row r="739" spans="1:33" ht="15.7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</row>
    <row r="740" spans="1:33" ht="15.7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</row>
    <row r="741" spans="1:33" ht="15.7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</row>
    <row r="742" spans="1:33" ht="15.7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</row>
    <row r="743" spans="1:33" ht="15.7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</row>
    <row r="744" spans="1:33" ht="15.7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</row>
    <row r="745" spans="1:33" ht="15.7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</row>
    <row r="746" spans="1:33" ht="15.7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</row>
    <row r="747" spans="1:33" ht="15.7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</row>
    <row r="748" spans="1:33" ht="15.7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</row>
    <row r="749" spans="1:33" ht="15.7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</row>
    <row r="750" spans="1:33" ht="15.7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</row>
    <row r="751" spans="1:33" ht="15.7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</row>
    <row r="752" spans="1:33" ht="15.7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</row>
    <row r="753" spans="1:33" ht="15.7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</row>
    <row r="754" spans="1:33" ht="15.7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</row>
    <row r="755" spans="1:33" ht="15.7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</row>
    <row r="756" spans="1:33" ht="15.7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</row>
    <row r="757" spans="1:33" ht="15.7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</row>
    <row r="758" spans="1:33" ht="15.7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</row>
    <row r="759" spans="1:33" ht="15.7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</row>
    <row r="760" spans="1:33" ht="15.7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</row>
    <row r="761" spans="1:33" ht="15.7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</row>
    <row r="762" spans="1:33" ht="15.7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</row>
    <row r="763" spans="1:33" ht="15.7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</row>
    <row r="764" spans="1:33" ht="15.7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</row>
    <row r="765" spans="1:33" ht="15.7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</row>
    <row r="766" spans="1:33" ht="15.7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</row>
    <row r="767" spans="1:33" ht="15.7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</row>
    <row r="768" spans="1:33" ht="15.7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</row>
    <row r="769" spans="1:33" ht="15.7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</row>
    <row r="770" spans="1:33" ht="15.7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</row>
    <row r="771" spans="1:33" ht="15.7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</row>
    <row r="772" spans="1:33" ht="15.7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</row>
    <row r="773" spans="1:33" ht="15.7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</row>
    <row r="774" spans="1:33" ht="15.7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</row>
    <row r="775" spans="1:33" ht="15.7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</row>
    <row r="776" spans="1:33" ht="15.7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</row>
    <row r="777" spans="1:33" ht="15.7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</row>
    <row r="778" spans="1:33" ht="15.7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</row>
    <row r="779" spans="1:33" ht="15.7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</row>
    <row r="780" spans="1:33" ht="15.7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</row>
    <row r="781" spans="1:33" ht="15.7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</row>
    <row r="782" spans="1:33" ht="15.7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</row>
    <row r="783" spans="1:33" ht="15.7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</row>
    <row r="784" spans="1:33" ht="15.7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</row>
    <row r="785" spans="1:33" ht="15.7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</row>
    <row r="786" spans="1:33" ht="15.7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</row>
    <row r="787" spans="1:33" ht="15.7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</row>
    <row r="788" spans="1:33" ht="15.7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</row>
    <row r="789" spans="1:33" ht="15.7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</row>
    <row r="790" spans="1:33" ht="15.7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</row>
    <row r="791" spans="1:33" ht="15.7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</row>
    <row r="792" spans="1:33" ht="15.7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</row>
    <row r="793" spans="1:33" ht="15.7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</row>
    <row r="794" spans="1:33" ht="15.7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</row>
    <row r="795" spans="1:33" ht="15.7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</row>
    <row r="796" spans="1:33" ht="15.7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</row>
    <row r="797" spans="1:33" ht="15.7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</row>
    <row r="798" spans="1:33" ht="15.7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</row>
    <row r="799" spans="1:33" ht="15.7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</row>
    <row r="800" spans="1:33" ht="15.7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</row>
    <row r="801" spans="1:33" ht="15.7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</row>
    <row r="802" spans="1:33" ht="15.7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</row>
    <row r="803" spans="1:33" ht="15.7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</row>
    <row r="804" spans="1:33" ht="15.7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</row>
    <row r="805" spans="1:33" ht="15.7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</row>
    <row r="806" spans="1:33" ht="15.7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</row>
    <row r="807" spans="1:33" ht="15.7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</row>
    <row r="808" spans="1:33" ht="15.7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</row>
    <row r="809" spans="1:33" ht="15.7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</row>
    <row r="810" spans="1:33" ht="15.7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</row>
    <row r="811" spans="1:33" ht="15.7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</row>
    <row r="812" spans="1:33" ht="15.7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</row>
    <row r="813" spans="1:33" ht="15.7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</row>
    <row r="814" spans="1:33" ht="15.7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</row>
    <row r="815" spans="1:33" ht="15.7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</row>
    <row r="816" spans="1:33" ht="15.7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</row>
    <row r="817" spans="1:33" ht="15.7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</row>
    <row r="818" spans="1:33" ht="15.7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</row>
    <row r="819" spans="1:33" ht="15.7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</row>
    <row r="820" spans="1:33" ht="15.7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</row>
    <row r="821" spans="1:33" ht="15.7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</row>
    <row r="822" spans="1:33" ht="15.7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</row>
    <row r="823" spans="1:33" ht="15.7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</row>
    <row r="824" spans="1:33" ht="15.7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</row>
    <row r="825" spans="1:33" ht="15.7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</row>
    <row r="826" spans="1:33" ht="15.7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</row>
    <row r="827" spans="1:33" ht="15.7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</row>
    <row r="828" spans="1:33" ht="15.7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</row>
    <row r="829" spans="1:33" ht="15.7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</row>
    <row r="830" spans="1:33" ht="15.7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</row>
    <row r="831" spans="1:33" ht="15.7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</row>
    <row r="832" spans="1:33" ht="15.7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</row>
    <row r="833" spans="1:33" ht="15.7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</row>
    <row r="834" spans="1:33" ht="15.7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</row>
    <row r="835" spans="1:33" ht="15.7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</row>
    <row r="836" spans="1:33" ht="15.7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</row>
    <row r="837" spans="1:33" ht="15.7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</row>
    <row r="838" spans="1:33" ht="15.7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</row>
    <row r="839" spans="1:33" ht="15.7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</row>
    <row r="840" spans="1:33" ht="15.7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</row>
    <row r="841" spans="1:33" ht="15.7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</row>
    <row r="842" spans="1:33" ht="15.7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</row>
    <row r="843" spans="1:33" ht="15.7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</row>
    <row r="844" spans="1:33" ht="15.7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</row>
    <row r="845" spans="1:33" ht="15.7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</row>
    <row r="846" spans="1:33" ht="15.7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</row>
    <row r="847" spans="1:33" ht="15.7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</row>
    <row r="848" spans="1:33" ht="15.7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</row>
    <row r="849" spans="1:33" ht="15.7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</row>
    <row r="850" spans="1:33" ht="15.7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</row>
    <row r="851" spans="1:33" ht="15.7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</row>
    <row r="852" spans="1:33" ht="15.7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</row>
    <row r="853" spans="1:33" ht="15.7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</row>
    <row r="854" spans="1:33" ht="15.7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</row>
    <row r="855" spans="1:33" ht="15.7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</row>
    <row r="856" spans="1:33" ht="15.7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</row>
    <row r="857" spans="1:33" ht="15.7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</row>
    <row r="858" spans="1:33" ht="15.7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</row>
    <row r="859" spans="1:33" ht="15.7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</row>
    <row r="860" spans="1:33" ht="15.7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</row>
    <row r="861" spans="1:33" ht="15.7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</row>
    <row r="862" spans="1:33" ht="15.7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</row>
    <row r="863" spans="1:33" ht="15.7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</row>
    <row r="864" spans="1:33" ht="15.7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</row>
    <row r="865" spans="1:33" ht="15.7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</row>
    <row r="866" spans="1:33" ht="15.7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</row>
    <row r="867" spans="1:33" ht="15.7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</row>
    <row r="868" spans="1:33" ht="15.7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</row>
    <row r="869" spans="1:33" ht="15.7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</row>
    <row r="870" spans="1:33" ht="15.7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</row>
    <row r="871" spans="1:33" ht="15.7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</row>
    <row r="872" spans="1:33" ht="15.7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</row>
    <row r="873" spans="1:33" ht="15.7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</row>
    <row r="874" spans="1:33" ht="15.7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</row>
    <row r="875" spans="1:33" ht="15.7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</row>
    <row r="876" spans="1:33" ht="15.7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</row>
    <row r="877" spans="1:33" ht="15.7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</row>
    <row r="878" spans="1:33" ht="15.7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</row>
    <row r="879" spans="1:33" ht="15.7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</row>
    <row r="880" spans="1:33" ht="15.7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</row>
    <row r="881" spans="1:33" ht="15.7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</row>
    <row r="882" spans="1:33" ht="15.7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</row>
    <row r="883" spans="1:33" ht="15.7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</row>
    <row r="884" spans="1:33" ht="15.7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</row>
    <row r="885" spans="1:33" ht="15.7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</row>
    <row r="886" spans="1:33" ht="15.7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</row>
    <row r="887" spans="1:33" ht="15.7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</row>
    <row r="888" spans="1:33" ht="15.7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</row>
    <row r="889" spans="1:33" ht="15.7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</row>
    <row r="890" spans="1:33" ht="15.7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</row>
    <row r="891" spans="1:33" ht="15.7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</row>
    <row r="892" spans="1:33" ht="15.7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</row>
    <row r="893" spans="1:33" ht="15.7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</row>
    <row r="894" spans="1:33" ht="15.7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</row>
    <row r="895" spans="1:33" ht="15.7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</row>
    <row r="896" spans="1:33" ht="15.7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</row>
    <row r="897" spans="1:33" ht="15.7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</row>
    <row r="898" spans="1:33" ht="15.7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</row>
    <row r="899" spans="1:33" ht="15.7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</row>
    <row r="900" spans="1:33" ht="15.7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</row>
    <row r="901" spans="1:33" ht="15.7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</row>
    <row r="902" spans="1:33" ht="15.7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</row>
    <row r="903" spans="1:33" ht="15.7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</row>
    <row r="904" spans="1:33" ht="15.7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</row>
    <row r="905" spans="1:33" ht="15.7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</row>
    <row r="906" spans="1:33" ht="15.7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</row>
    <row r="907" spans="1:33" ht="15.7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</row>
    <row r="908" spans="1:33" ht="15.7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</row>
    <row r="909" spans="1:33" ht="15.7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</row>
    <row r="910" spans="1:33" ht="15.7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</row>
    <row r="911" spans="1:33" ht="15.7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</row>
    <row r="912" spans="1:33" ht="15.7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</row>
    <row r="913" spans="1:33" ht="15.7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</row>
    <row r="914" spans="1:33" ht="15.7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</row>
    <row r="915" spans="1:33" ht="15.7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</row>
    <row r="916" spans="1:33" ht="15.7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</row>
    <row r="917" spans="1:33" ht="15.7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</row>
    <row r="918" spans="1:33" ht="15.7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</row>
    <row r="919" spans="1:33" ht="15.7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</row>
    <row r="920" spans="1:33" ht="15.7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</row>
    <row r="921" spans="1:33" ht="15.7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</row>
    <row r="922" spans="1:33" ht="15.7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</row>
    <row r="923" spans="1:33" ht="15.7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</row>
    <row r="924" spans="1:33" ht="15.7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</row>
    <row r="925" spans="1:33" ht="15.7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</row>
    <row r="926" spans="1:33" ht="15.7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</row>
    <row r="927" spans="1:33" ht="15.7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</row>
    <row r="928" spans="1:33" ht="15.7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</row>
    <row r="929" spans="1:33" ht="15.7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</row>
    <row r="930" spans="1:33" ht="15.7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</row>
    <row r="931" spans="1:33" ht="15.7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</row>
    <row r="932" spans="1:33" ht="15.7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</row>
    <row r="933" spans="1:33" ht="15.7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</row>
    <row r="934" spans="1:33" ht="15.7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</row>
    <row r="935" spans="1:33" ht="15.7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</row>
    <row r="936" spans="1:33" ht="15.7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</row>
    <row r="937" spans="1:33" ht="15.7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</row>
    <row r="938" spans="1:33" ht="15.7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</row>
    <row r="939" spans="1:33" ht="15.7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</row>
    <row r="940" spans="1:33" ht="15.7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</row>
    <row r="941" spans="1:33" ht="15.7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</row>
    <row r="942" spans="1:33" ht="15.7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</row>
    <row r="943" spans="1:33" ht="15.7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</row>
    <row r="944" spans="1:33" ht="15.7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</row>
    <row r="945" spans="1:33" ht="15.7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</row>
    <row r="946" spans="1:33" ht="15.7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</row>
    <row r="947" spans="1:33" ht="15.7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</row>
    <row r="948" spans="1:33" ht="15.7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</row>
    <row r="949" spans="1:33" ht="15.7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</row>
    <row r="950" spans="1:33" ht="15.7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</row>
    <row r="951" spans="1:33" ht="15.7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</row>
    <row r="952" spans="1:33" ht="15.7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</row>
    <row r="953" spans="1:33" ht="15.7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</row>
    <row r="954" spans="1:33" ht="15.7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</row>
    <row r="955" spans="1:33" ht="15.7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</row>
    <row r="956" spans="1:33" ht="15.7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</row>
    <row r="957" spans="1:33" ht="15.7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</row>
    <row r="958" spans="1:33" ht="15.7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</row>
    <row r="959" spans="1:33" ht="15.7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</row>
    <row r="960" spans="1:33" ht="15.7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</row>
    <row r="961" spans="1:33" ht="15.7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</row>
    <row r="962" spans="1:33" ht="15.7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</row>
    <row r="963" spans="1:33" ht="15.7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</row>
    <row r="964" spans="1:33" ht="15.7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</row>
    <row r="965" spans="1:33" ht="15.7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</row>
    <row r="966" spans="1:33" ht="15.7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</row>
    <row r="967" spans="1:33" ht="15.7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</row>
    <row r="968" spans="1:33" ht="15.7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</row>
    <row r="969" spans="1:33" ht="15.7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</row>
    <row r="970" spans="1:33" ht="15.7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</row>
    <row r="971" spans="1:33" ht="15.7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</row>
    <row r="972" spans="1:33" ht="15.7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</row>
    <row r="973" spans="1:33" ht="15.7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</row>
    <row r="974" spans="1:33" ht="15.7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</row>
    <row r="975" spans="1:33" ht="15.7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</row>
    <row r="976" spans="1:33" ht="15.7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</row>
    <row r="977" spans="1:33" ht="15.7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</row>
    <row r="978" spans="1:33" ht="15.7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</row>
    <row r="979" spans="1:33" ht="15.7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</row>
    <row r="980" spans="1:33" ht="15.7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</row>
    <row r="981" spans="1:33" ht="15.7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</row>
    <row r="982" spans="1:33" ht="15.7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</row>
    <row r="983" spans="1:33" ht="15.7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</row>
    <row r="984" spans="1:33" ht="15.7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</row>
    <row r="985" spans="1:33" ht="15.7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</row>
    <row r="986" spans="1:33" ht="15.7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</row>
    <row r="987" spans="1:33" ht="15.7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</row>
    <row r="988" spans="1:33" ht="15.7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</row>
    <row r="989" spans="1:33" ht="15.7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</row>
    <row r="990" spans="1:33" ht="15.7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</row>
    <row r="991" spans="1:33" ht="15.7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</row>
    <row r="992" spans="1:33" ht="15.7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</row>
    <row r="993" spans="1:33" ht="15.7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</row>
    <row r="994" spans="1:33" ht="15.7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</row>
    <row r="995" spans="1:33" ht="15.7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</row>
    <row r="996" spans="1:33" ht="15.7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</row>
    <row r="997" spans="1:33" ht="15.7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</row>
    <row r="998" spans="1:33" ht="15.7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220"/>
    </row>
    <row r="999" spans="1:33" ht="15.7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  <c r="AB999" s="220"/>
      <c r="AC999" s="220"/>
      <c r="AD999" s="220"/>
      <c r="AE999" s="220"/>
      <c r="AF999" s="220"/>
      <c r="AG999" s="220"/>
    </row>
    <row r="1000" spans="1:33" ht="15.7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  <c r="AB1000" s="220"/>
      <c r="AC1000" s="220"/>
      <c r="AD1000" s="220"/>
      <c r="AE1000" s="220"/>
      <c r="AF1000" s="220"/>
      <c r="AG1000" s="220"/>
    </row>
  </sheetData>
  <mergeCells count="12">
    <mergeCell ref="B65:B70"/>
    <mergeCell ref="D63:J63"/>
    <mergeCell ref="B52:J52"/>
    <mergeCell ref="D53:J53"/>
    <mergeCell ref="B55:B60"/>
    <mergeCell ref="D42:J42"/>
    <mergeCell ref="B44:B50"/>
    <mergeCell ref="N5:Q5"/>
    <mergeCell ref="S5:V5"/>
    <mergeCell ref="Y13:AC14"/>
    <mergeCell ref="N22:V22"/>
    <mergeCell ref="B41:J41"/>
  </mergeCells>
  <pageMargins left="0.7" right="0.7" top="0.75" bottom="0.75" header="0" footer="0"/>
  <pageSetup scale="3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F2EC"/>
  </sheetPr>
  <dimension ref="A1:Z1000"/>
  <sheetViews>
    <sheetView showGridLines="0" zoomScale="107" zoomScaleNormal="75" workbookViewId="0">
      <selection activeCell="E10" sqref="E10"/>
    </sheetView>
  </sheetViews>
  <sheetFormatPr defaultColWidth="14.44140625" defaultRowHeight="15" customHeight="1"/>
  <cols>
    <col min="1" max="1" width="2.77734375" style="19" customWidth="1"/>
    <col min="2" max="4" width="12.77734375" style="19" customWidth="1"/>
    <col min="5" max="5" width="18" style="19" customWidth="1"/>
    <col min="6" max="6" width="2.77734375" style="19" customWidth="1"/>
    <col min="7" max="26" width="12.77734375" style="19" customWidth="1"/>
    <col min="27" max="16384" width="14.44140625" style="19"/>
  </cols>
  <sheetData>
    <row r="1" spans="1:26" s="276" customFormat="1" ht="15.75" customHeight="1">
      <c r="A1" s="311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</row>
    <row r="2" spans="1:26" s="276" customFormat="1" ht="15.75" customHeight="1">
      <c r="A2" s="312"/>
      <c r="B2" s="313" t="s">
        <v>251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</row>
    <row r="3" spans="1:26" s="276" customFormat="1" ht="15.75" customHeight="1">
      <c r="A3" s="314"/>
      <c r="B3" s="314" t="s">
        <v>60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</row>
    <row r="4" spans="1:26" ht="15.75" customHeight="1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</row>
    <row r="5" spans="1:26" ht="15.75" customHeight="1">
      <c r="A5" s="216"/>
      <c r="B5" s="591" t="s">
        <v>252</v>
      </c>
      <c r="C5" s="592"/>
      <c r="D5" s="592"/>
      <c r="E5" s="593"/>
      <c r="F5" s="216"/>
      <c r="G5" s="591" t="s">
        <v>253</v>
      </c>
      <c r="H5" s="592"/>
      <c r="I5" s="592"/>
      <c r="J5" s="593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 spans="1:26" ht="15.75" customHeight="1">
      <c r="A6" s="216"/>
      <c r="B6" s="259" t="s">
        <v>254</v>
      </c>
      <c r="C6" s="260"/>
      <c r="D6" s="260"/>
      <c r="E6" s="261">
        <v>4.1500000000000002E-2</v>
      </c>
      <c r="F6" s="216"/>
      <c r="G6" s="262"/>
      <c r="H6" s="262"/>
      <c r="I6" s="262"/>
      <c r="J6" s="262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 spans="1:26" ht="15.75" customHeight="1">
      <c r="A7" s="216"/>
      <c r="B7" s="263" t="s">
        <v>255</v>
      </c>
      <c r="C7" s="216"/>
      <c r="D7" s="216"/>
      <c r="E7" s="261">
        <v>0.05</v>
      </c>
      <c r="F7" s="216"/>
      <c r="G7" s="259" t="s">
        <v>254</v>
      </c>
      <c r="H7" s="260"/>
      <c r="I7" s="260"/>
      <c r="J7" s="264">
        <v>4.1500000000000002E-2</v>
      </c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 spans="1:26" ht="15.75" customHeight="1">
      <c r="A8" s="216"/>
      <c r="B8" s="263" t="s">
        <v>256</v>
      </c>
      <c r="C8" s="216"/>
      <c r="D8" s="216"/>
      <c r="E8" s="329">
        <f>J17</f>
        <v>1.59</v>
      </c>
      <c r="F8" s="216"/>
      <c r="G8" s="217" t="s">
        <v>257</v>
      </c>
      <c r="H8" s="531"/>
      <c r="I8" s="531"/>
      <c r="J8" s="532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</row>
    <row r="9" spans="1:26" ht="15.75" customHeight="1">
      <c r="A9" s="216"/>
      <c r="B9" s="263" t="s">
        <v>73</v>
      </c>
      <c r="C9" s="216"/>
      <c r="D9" s="216"/>
      <c r="E9" s="330">
        <f>J10</f>
        <v>0.25569999999999998</v>
      </c>
      <c r="F9" s="216"/>
      <c r="G9" s="336" t="s">
        <v>258</v>
      </c>
      <c r="H9" s="337"/>
      <c r="I9" s="337"/>
      <c r="J9" s="338">
        <v>4.47</v>
      </c>
      <c r="K9" s="26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spans="1:26" ht="15.75" customHeight="1">
      <c r="A10" s="216"/>
      <c r="B10" s="263" t="s">
        <v>259</v>
      </c>
      <c r="C10" s="216"/>
      <c r="D10" s="216"/>
      <c r="E10" s="330">
        <f>CurrentPrice</f>
        <v>245.84</v>
      </c>
      <c r="F10" s="216"/>
      <c r="G10" s="263" t="s">
        <v>260</v>
      </c>
      <c r="H10" s="216"/>
      <c r="I10" s="216"/>
      <c r="J10" s="267">
        <v>0.25569999999999998</v>
      </c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</row>
    <row r="11" spans="1:26" ht="15.75" customHeight="1">
      <c r="A11" s="216"/>
      <c r="B11" s="263" t="s">
        <v>226</v>
      </c>
      <c r="C11" s="216"/>
      <c r="D11" s="218"/>
      <c r="E11" s="331">
        <v>107300000</v>
      </c>
      <c r="F11" s="216"/>
      <c r="G11" s="336" t="s">
        <v>261</v>
      </c>
      <c r="H11" s="337"/>
      <c r="I11" s="337"/>
      <c r="J11" s="339">
        <f>J9*(1+J10)/100</f>
        <v>5.6129789999999999E-2</v>
      </c>
      <c r="K11" s="26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 spans="1:26" ht="15.75" customHeight="1">
      <c r="A12" s="216"/>
      <c r="B12" s="268" t="s">
        <v>262</v>
      </c>
      <c r="C12" s="269"/>
      <c r="D12" s="269"/>
      <c r="E12" s="332">
        <v>891900000</v>
      </c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</row>
    <row r="13" spans="1:26" ht="15.75" customHeight="1">
      <c r="A13" s="216"/>
      <c r="B13" s="216"/>
      <c r="C13" s="216"/>
      <c r="D13" s="216"/>
      <c r="E13" s="216"/>
      <c r="F13" s="216"/>
      <c r="G13" s="591" t="s">
        <v>263</v>
      </c>
      <c r="H13" s="592"/>
      <c r="I13" s="592"/>
      <c r="J13" s="593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 spans="1:26" ht="15.75" customHeight="1">
      <c r="A14" s="216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</row>
    <row r="15" spans="1:26" ht="15.75" customHeight="1">
      <c r="A15" s="216"/>
      <c r="B15" s="216"/>
      <c r="C15" s="216"/>
      <c r="D15" s="216"/>
      <c r="E15" s="216"/>
      <c r="F15" s="216"/>
      <c r="G15" s="270" t="s">
        <v>254</v>
      </c>
      <c r="H15" s="271"/>
      <c r="I15" s="271"/>
      <c r="J15" s="264">
        <f>J7</f>
        <v>4.1500000000000002E-2</v>
      </c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</row>
    <row r="16" spans="1:26" ht="15.75" customHeight="1">
      <c r="A16" s="216"/>
      <c r="B16" s="216"/>
      <c r="C16" s="216"/>
      <c r="D16" s="216"/>
      <c r="E16" s="216"/>
      <c r="F16" s="216"/>
      <c r="G16" s="272" t="s">
        <v>255</v>
      </c>
      <c r="H16" s="273"/>
      <c r="I16" s="273"/>
      <c r="J16" s="267">
        <v>0.05</v>
      </c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 ht="15.75" customHeight="1">
      <c r="A17" s="216"/>
      <c r="B17" s="216"/>
      <c r="C17" s="216"/>
      <c r="D17" s="216"/>
      <c r="E17" s="216" t="s">
        <v>264</v>
      </c>
      <c r="F17" s="216"/>
      <c r="G17" s="272" t="s">
        <v>256</v>
      </c>
      <c r="H17" s="273"/>
      <c r="I17" s="273"/>
      <c r="J17" s="265">
        <v>1.59</v>
      </c>
      <c r="K17" s="26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spans="1:26" ht="15.75" customHeight="1">
      <c r="A18" s="216"/>
      <c r="B18" s="216"/>
      <c r="C18" s="216"/>
      <c r="D18" s="216"/>
      <c r="E18" s="216"/>
      <c r="F18" s="216"/>
      <c r="G18" s="340" t="s">
        <v>265</v>
      </c>
      <c r="H18" s="341"/>
      <c r="I18" s="341"/>
      <c r="J18" s="339">
        <f>J15+J16*J17</f>
        <v>0.12100000000000002</v>
      </c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spans="1:26" ht="15.75" customHeight="1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spans="1:26" ht="15.75" customHeight="1">
      <c r="A20" s="216"/>
      <c r="B20" s="333" t="s">
        <v>266</v>
      </c>
      <c r="C20" s="334"/>
      <c r="D20" s="334"/>
      <c r="E20" s="334"/>
      <c r="F20" s="334"/>
      <c r="G20" s="594" t="s">
        <v>267</v>
      </c>
      <c r="H20" s="592"/>
      <c r="I20" s="334" t="s">
        <v>268</v>
      </c>
      <c r="J20" s="335" t="s">
        <v>269</v>
      </c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</row>
    <row r="21" spans="1:26" ht="15.75" customHeight="1">
      <c r="A21" s="216"/>
      <c r="B21" s="263" t="s">
        <v>262</v>
      </c>
      <c r="C21" s="216"/>
      <c r="D21" s="216"/>
      <c r="E21" s="216"/>
      <c r="F21" s="216"/>
      <c r="G21" s="588">
        <f>E12</f>
        <v>891900000</v>
      </c>
      <c r="H21" s="550"/>
      <c r="I21" s="274">
        <f>G21/G23</f>
        <v>3.2705632585385572E-2</v>
      </c>
      <c r="J21" s="267">
        <f>J11</f>
        <v>5.6129789999999999E-2</v>
      </c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spans="1:26" ht="15.75" customHeight="1">
      <c r="A22" s="216"/>
      <c r="B22" s="263" t="s">
        <v>270</v>
      </c>
      <c r="C22" s="216"/>
      <c r="D22" s="216"/>
      <c r="E22" s="216"/>
      <c r="F22" s="216"/>
      <c r="G22" s="588">
        <f>E10*E11</f>
        <v>26378632000</v>
      </c>
      <c r="H22" s="550"/>
      <c r="I22" s="274">
        <f>G22/G23</f>
        <v>0.96729436741461439</v>
      </c>
      <c r="J22" s="267">
        <f>J18</f>
        <v>0.12100000000000002</v>
      </c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</row>
    <row r="23" spans="1:26" ht="15.75" customHeight="1">
      <c r="A23" s="216"/>
      <c r="B23" s="336" t="s">
        <v>271</v>
      </c>
      <c r="C23" s="337"/>
      <c r="D23" s="337"/>
      <c r="E23" s="337"/>
      <c r="F23" s="337"/>
      <c r="G23" s="589">
        <f>SUM(G21:G22)</f>
        <v>27270532000</v>
      </c>
      <c r="H23" s="590"/>
      <c r="I23" s="342">
        <f>SUM(I21:I22)</f>
        <v>1</v>
      </c>
      <c r="J23" s="339">
        <f>I21*J21+I22*J22</f>
        <v>0.11887837874600321</v>
      </c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</row>
    <row r="24" spans="1:26" ht="15.75" customHeight="1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</row>
    <row r="25" spans="1:26" ht="15.75" customHeight="1">
      <c r="A25" s="216"/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spans="1:26" ht="15.75" customHeight="1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 spans="1:26" ht="15.75" customHeight="1">
      <c r="A27" s="216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</row>
    <row r="28" spans="1:26" ht="15.75" customHeight="1">
      <c r="A28" s="216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</row>
    <row r="29" spans="1:26" ht="15.75" customHeight="1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</row>
    <row r="30" spans="1:26" ht="15.75" customHeight="1">
      <c r="A30" s="216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</row>
    <row r="31" spans="1:26" ht="15.75" customHeight="1">
      <c r="A31" s="216"/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</row>
    <row r="32" spans="1:26" ht="15.75" customHeight="1">
      <c r="A32" s="216"/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</row>
    <row r="33" spans="1:26" ht="15.75" customHeight="1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</row>
    <row r="34" spans="1:26" ht="15.75" customHeight="1">
      <c r="A34" s="216"/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</row>
    <row r="35" spans="1:26" ht="15.75" customHeight="1">
      <c r="A35" s="216"/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</row>
    <row r="36" spans="1:26" ht="15.75" customHeight="1">
      <c r="A36" s="216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spans="1:26" ht="15.75" customHeight="1">
      <c r="A37" s="216"/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spans="1:26" ht="15.75" customHeight="1">
      <c r="A38" s="216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spans="1:26" ht="15.75" customHeight="1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spans="1:26" ht="15.75" customHeight="1">
      <c r="A40" s="216"/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 ht="15.75" customHeight="1">
      <c r="A41" s="216"/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</row>
    <row r="42" spans="1:26" ht="15.75" customHeight="1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</row>
    <row r="43" spans="1:26" ht="15.75" customHeight="1">
      <c r="A43" s="216"/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</row>
    <row r="44" spans="1:26" ht="15.75" customHeight="1">
      <c r="A44" s="216"/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</row>
    <row r="45" spans="1:26" ht="15.75" customHeight="1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</row>
    <row r="46" spans="1:26" ht="15.75" customHeight="1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</row>
    <row r="47" spans="1:26" ht="15.75" customHeight="1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</row>
    <row r="48" spans="1:26" ht="15.75" customHeight="1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</row>
    <row r="49" spans="1:26" ht="15.75" customHeight="1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</row>
    <row r="50" spans="1:26" ht="15.75" customHeight="1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</row>
    <row r="51" spans="1:26" ht="15.75" customHeight="1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</row>
    <row r="52" spans="1:26" ht="15.75" customHeight="1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</row>
    <row r="53" spans="1:26" ht="15.75" customHeight="1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</row>
    <row r="54" spans="1:26" ht="15.75" customHeight="1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</row>
    <row r="55" spans="1:26" ht="15.75" customHeight="1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</row>
    <row r="56" spans="1:26" ht="15.75" customHeight="1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</row>
    <row r="57" spans="1:26" ht="15.75" customHeight="1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</row>
    <row r="58" spans="1:26" ht="15.75" customHeight="1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</row>
    <row r="59" spans="1:26" ht="15.75" customHeight="1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</row>
    <row r="60" spans="1:26" ht="15.75" customHeight="1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</row>
    <row r="61" spans="1:26" ht="15.75" customHeight="1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</row>
    <row r="62" spans="1:26" ht="15.75" customHeight="1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</row>
    <row r="63" spans="1:26" ht="15.75" customHeight="1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</row>
    <row r="64" spans="1:26" ht="15.75" customHeight="1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</row>
    <row r="65" spans="1:26" ht="15.75" customHeight="1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</row>
    <row r="66" spans="1:26" ht="15.75" customHeight="1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</row>
    <row r="67" spans="1:26" ht="15.75" customHeight="1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</row>
    <row r="68" spans="1:26" ht="15.75" customHeight="1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</row>
    <row r="69" spans="1:26" ht="15.75" customHeight="1">
      <c r="A69" s="216"/>
      <c r="B69" s="216"/>
      <c r="C69" s="216"/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</row>
    <row r="70" spans="1:26" ht="15.75" customHeight="1">
      <c r="A70" s="216"/>
      <c r="B70" s="216"/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</row>
    <row r="71" spans="1:26" ht="15.75" customHeight="1">
      <c r="A71" s="216"/>
      <c r="B71" s="216"/>
      <c r="C71" s="216"/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</row>
    <row r="72" spans="1:26" ht="15.75" customHeight="1">
      <c r="A72" s="216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</row>
    <row r="73" spans="1:26" ht="15.75" customHeight="1">
      <c r="A73" s="216"/>
      <c r="B73" s="216"/>
      <c r="C73" s="216"/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</row>
    <row r="74" spans="1:26" ht="15.75" customHeight="1">
      <c r="A74" s="216"/>
      <c r="B74" s="216"/>
      <c r="C74" s="216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</row>
    <row r="75" spans="1:26" ht="15.75" customHeight="1">
      <c r="A75" s="216"/>
      <c r="B75" s="216"/>
      <c r="C75" s="216"/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</row>
    <row r="76" spans="1:26" ht="15.75" customHeight="1">
      <c r="A76" s="216"/>
      <c r="B76" s="216"/>
      <c r="C76" s="216"/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</row>
    <row r="77" spans="1:26" ht="15.75" customHeight="1">
      <c r="A77" s="216"/>
      <c r="B77" s="216"/>
      <c r="C77" s="216"/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</row>
    <row r="78" spans="1:26" ht="15.75" customHeight="1">
      <c r="A78" s="216"/>
      <c r="B78" s="216"/>
      <c r="C78" s="216"/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</row>
    <row r="79" spans="1:26" ht="15.75" customHeight="1">
      <c r="A79" s="216"/>
      <c r="B79" s="216"/>
      <c r="C79" s="216"/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</row>
    <row r="80" spans="1:26" ht="15.75" customHeight="1">
      <c r="A80" s="216"/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</row>
    <row r="81" spans="1:26" ht="15.75" customHeight="1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</row>
    <row r="82" spans="1:26" ht="15.75" customHeight="1">
      <c r="A82" s="216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</row>
    <row r="83" spans="1:26" ht="15.75" customHeight="1">
      <c r="A83" s="216"/>
      <c r="B83" s="216"/>
      <c r="C83" s="216"/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</row>
    <row r="84" spans="1:26" ht="15.75" customHeight="1">
      <c r="A84" s="216"/>
      <c r="B84" s="216"/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</row>
    <row r="85" spans="1:26" ht="15.75" customHeight="1">
      <c r="A85" s="216"/>
      <c r="B85" s="216"/>
      <c r="C85" s="216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</row>
    <row r="86" spans="1:26" ht="15.75" customHeight="1">
      <c r="A86" s="216"/>
      <c r="B86" s="216"/>
      <c r="C86" s="216"/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</row>
    <row r="87" spans="1:26" ht="15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</row>
    <row r="88" spans="1:26" ht="15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</row>
    <row r="89" spans="1:26" ht="15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</row>
    <row r="90" spans="1:26" ht="15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spans="1:26" ht="15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</row>
    <row r="92" spans="1:26" ht="15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</row>
    <row r="93" spans="1:26" ht="15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</row>
    <row r="94" spans="1:26" ht="15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</row>
    <row r="95" spans="1:26" ht="15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</row>
    <row r="96" spans="1:26" ht="15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</row>
    <row r="97" spans="1:26" ht="15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</row>
    <row r="98" spans="1:26" ht="15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</row>
    <row r="99" spans="1:26" ht="15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</row>
    <row r="100" spans="1:26" ht="15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</row>
    <row r="101" spans="1:26" ht="15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</row>
    <row r="102" spans="1:26" ht="15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</row>
    <row r="103" spans="1:26" ht="15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</row>
    <row r="104" spans="1:26" ht="15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</row>
    <row r="105" spans="1:26" ht="15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</row>
    <row r="106" spans="1:26" ht="15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</row>
    <row r="107" spans="1:26" ht="15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</row>
    <row r="108" spans="1:26" ht="15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</row>
    <row r="109" spans="1:26" ht="15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</row>
    <row r="110" spans="1:26" ht="15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</row>
    <row r="111" spans="1:26" ht="15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</row>
    <row r="112" spans="1:26" ht="15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</row>
    <row r="113" spans="1:26" ht="15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</row>
    <row r="114" spans="1:26" ht="15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</row>
    <row r="115" spans="1:26" ht="15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</row>
    <row r="116" spans="1:26" ht="15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</row>
    <row r="117" spans="1:26" ht="15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</row>
    <row r="118" spans="1:26" ht="15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</row>
    <row r="119" spans="1:26" ht="15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</row>
    <row r="120" spans="1:26" ht="15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</row>
    <row r="121" spans="1:26" ht="15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</row>
    <row r="122" spans="1:26" ht="15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</row>
    <row r="123" spans="1:26" ht="15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</row>
    <row r="124" spans="1:26" ht="15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</row>
    <row r="125" spans="1:26" ht="15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</row>
    <row r="126" spans="1:26" ht="15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</row>
    <row r="127" spans="1:26" ht="15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</row>
    <row r="128" spans="1:26" ht="15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</row>
    <row r="129" spans="1:26" ht="15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</row>
    <row r="130" spans="1:26" ht="15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</row>
    <row r="131" spans="1:26" ht="15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</row>
    <row r="132" spans="1:26" ht="15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</row>
    <row r="133" spans="1:26" ht="15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</row>
    <row r="134" spans="1:26" ht="15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</row>
    <row r="135" spans="1:26" ht="15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</row>
    <row r="136" spans="1:26" ht="15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</row>
    <row r="137" spans="1:26" ht="15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</row>
    <row r="138" spans="1:26" ht="15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</row>
    <row r="139" spans="1:26" ht="15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</row>
    <row r="140" spans="1:26" ht="15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</row>
    <row r="141" spans="1:26" ht="15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</row>
    <row r="142" spans="1:26" ht="15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</row>
    <row r="143" spans="1:26" ht="15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</row>
    <row r="144" spans="1:26" ht="15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</row>
    <row r="145" spans="1:26" ht="15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</row>
    <row r="146" spans="1:26" ht="15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</row>
    <row r="147" spans="1:26" ht="15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</row>
    <row r="148" spans="1:26" ht="15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</row>
    <row r="149" spans="1:26" ht="15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</row>
    <row r="150" spans="1:26" ht="15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</row>
    <row r="151" spans="1:26" ht="15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</row>
    <row r="152" spans="1:26" ht="15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</row>
    <row r="153" spans="1:26" ht="15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</row>
    <row r="154" spans="1:26" ht="15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</row>
    <row r="155" spans="1:26" ht="15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</row>
    <row r="156" spans="1:26" ht="15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</row>
    <row r="157" spans="1:26" ht="15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</row>
    <row r="158" spans="1:26" ht="15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</row>
    <row r="159" spans="1:26" ht="15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</row>
    <row r="160" spans="1:26" ht="15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</row>
    <row r="161" spans="1:26" ht="15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</row>
    <row r="162" spans="1:26" ht="15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</row>
    <row r="163" spans="1:26" ht="15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</row>
    <row r="164" spans="1:26" ht="15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</row>
    <row r="165" spans="1:26" ht="15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</row>
    <row r="166" spans="1:26" ht="15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</row>
    <row r="167" spans="1:26" ht="15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</row>
    <row r="168" spans="1:26" ht="15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</row>
    <row r="169" spans="1:26" ht="15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</row>
    <row r="170" spans="1:26" ht="15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</row>
    <row r="171" spans="1:26" ht="15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</row>
    <row r="172" spans="1:26" ht="15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</row>
    <row r="173" spans="1:26" ht="15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</row>
    <row r="174" spans="1:26" ht="15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</row>
    <row r="175" spans="1:26" ht="15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</row>
    <row r="176" spans="1:26" ht="15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</row>
    <row r="177" spans="1:26" ht="15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</row>
    <row r="178" spans="1:26" ht="15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</row>
    <row r="179" spans="1:26" ht="15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</row>
    <row r="180" spans="1:26" ht="15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</row>
    <row r="181" spans="1:26" ht="15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</row>
    <row r="182" spans="1:26" ht="15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</row>
    <row r="183" spans="1:26" ht="15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</row>
    <row r="184" spans="1:26" ht="15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</row>
    <row r="185" spans="1:26" ht="15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</row>
    <row r="186" spans="1:26" ht="15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</row>
    <row r="187" spans="1:26" ht="15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</row>
    <row r="188" spans="1:26" ht="15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</row>
    <row r="189" spans="1:26" ht="15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</row>
    <row r="190" spans="1:26" ht="15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</row>
    <row r="191" spans="1:26" ht="15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</row>
    <row r="192" spans="1:26" ht="15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</row>
    <row r="193" spans="1:26" ht="15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</row>
    <row r="194" spans="1:26" ht="15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</row>
    <row r="195" spans="1:26" ht="15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</row>
    <row r="196" spans="1:26" ht="15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</row>
    <row r="197" spans="1:26" ht="15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</row>
    <row r="198" spans="1:26" ht="15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</row>
    <row r="199" spans="1:26" ht="15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</row>
    <row r="200" spans="1:26" ht="15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</row>
    <row r="201" spans="1:26" ht="15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</row>
    <row r="202" spans="1:26" ht="15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</row>
    <row r="203" spans="1:26" ht="15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</row>
    <row r="204" spans="1:26" ht="15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</row>
    <row r="205" spans="1:26" ht="15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</row>
    <row r="206" spans="1:26" ht="15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</row>
    <row r="207" spans="1:26" ht="15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</row>
    <row r="208" spans="1:26" ht="15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</row>
    <row r="209" spans="1:26" ht="15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</row>
    <row r="210" spans="1:26" ht="15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</row>
    <row r="211" spans="1:26" ht="15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</row>
    <row r="212" spans="1:26" ht="15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</row>
    <row r="213" spans="1:26" ht="15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</row>
    <row r="214" spans="1:26" ht="15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</row>
    <row r="215" spans="1:26" ht="15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</row>
    <row r="216" spans="1:26" ht="15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</row>
    <row r="217" spans="1:26" ht="15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</row>
    <row r="218" spans="1:26" ht="15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</row>
    <row r="219" spans="1:26" ht="15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</row>
    <row r="220" spans="1:26" ht="15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</row>
    <row r="221" spans="1:26" ht="15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</row>
    <row r="222" spans="1:26" ht="15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</row>
    <row r="223" spans="1:26" ht="15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</row>
    <row r="224" spans="1:26" ht="15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</row>
    <row r="225" spans="1:26" ht="15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</row>
    <row r="226" spans="1:26" ht="15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</row>
    <row r="227" spans="1:26" ht="15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</row>
    <row r="228" spans="1:26" ht="15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</row>
    <row r="229" spans="1:26" ht="15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</row>
    <row r="230" spans="1:26" ht="15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</row>
    <row r="231" spans="1:26" ht="15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</row>
    <row r="232" spans="1:26" ht="15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</row>
    <row r="233" spans="1:26" ht="15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</row>
    <row r="234" spans="1:26" ht="15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</row>
    <row r="235" spans="1:26" ht="15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</row>
    <row r="236" spans="1:26" ht="15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</row>
    <row r="237" spans="1:26" ht="15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</row>
    <row r="238" spans="1:26" ht="15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</row>
    <row r="239" spans="1:26" ht="15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</row>
    <row r="240" spans="1:26" ht="15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</row>
    <row r="241" spans="1:26" ht="15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</row>
    <row r="242" spans="1:26" ht="15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</row>
    <row r="243" spans="1:26" ht="15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</row>
    <row r="244" spans="1:26" ht="15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</row>
    <row r="245" spans="1:26" ht="15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</row>
    <row r="246" spans="1:26" ht="15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</row>
    <row r="247" spans="1:26" ht="15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</row>
    <row r="248" spans="1:26" ht="15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</row>
    <row r="249" spans="1:26" ht="15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</row>
    <row r="250" spans="1:26" ht="15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</row>
    <row r="251" spans="1:26" ht="15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</row>
    <row r="252" spans="1:26" ht="15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</row>
    <row r="253" spans="1:26" ht="15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</row>
    <row r="254" spans="1:26" ht="15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</row>
    <row r="255" spans="1:26" ht="15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</row>
    <row r="256" spans="1:26" ht="15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</row>
    <row r="257" spans="1:26" ht="15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</row>
    <row r="258" spans="1:26" ht="15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</row>
    <row r="259" spans="1:26" ht="15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</row>
    <row r="260" spans="1:26" ht="15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</row>
    <row r="261" spans="1:26" ht="15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</row>
    <row r="262" spans="1:26" ht="15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</row>
    <row r="263" spans="1:26" ht="15.75" customHeight="1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</row>
    <row r="264" spans="1:26" ht="15.75" customHeight="1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</row>
    <row r="265" spans="1:26" ht="15.75" customHeight="1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</row>
    <row r="266" spans="1:26" ht="15.75" customHeight="1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</row>
    <row r="267" spans="1:26" ht="15.75" customHeight="1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</row>
    <row r="268" spans="1:26" ht="15.75" customHeight="1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</row>
    <row r="269" spans="1:26" ht="15.75" customHeight="1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</row>
    <row r="270" spans="1:26" ht="15.75" customHeight="1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</row>
    <row r="271" spans="1:26" ht="15.75" customHeight="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</row>
    <row r="272" spans="1:26" ht="15.75" customHeight="1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</row>
    <row r="273" spans="1:26" ht="15.75" customHeight="1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</row>
    <row r="274" spans="1:26" ht="15.75" customHeight="1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</row>
    <row r="275" spans="1:26" ht="15.75" customHeight="1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</row>
    <row r="276" spans="1:26" ht="15.75" customHeight="1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</row>
    <row r="277" spans="1:26" ht="15.75" customHeight="1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</row>
    <row r="278" spans="1:26" ht="15.75" customHeight="1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</row>
    <row r="279" spans="1:26" ht="15.75" customHeight="1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</row>
    <row r="280" spans="1:26" ht="15.75" customHeight="1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</row>
    <row r="281" spans="1:26" ht="15.75" customHeight="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</row>
    <row r="282" spans="1:26" ht="15.75" customHeight="1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</row>
    <row r="283" spans="1:26" ht="15.75" customHeight="1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</row>
    <row r="284" spans="1:26" ht="15.75" customHeight="1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</row>
    <row r="285" spans="1:26" ht="15.75" customHeight="1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</row>
    <row r="286" spans="1:26" ht="15.75" customHeight="1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</row>
    <row r="287" spans="1:26" ht="15.75" customHeight="1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</row>
    <row r="288" spans="1:26" ht="15.75" customHeight="1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</row>
    <row r="289" spans="1:26" ht="15.75" customHeight="1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</row>
    <row r="290" spans="1:26" ht="15.75" customHeight="1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</row>
    <row r="291" spans="1:26" ht="15.75" customHeight="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</row>
    <row r="292" spans="1:26" ht="15.75" customHeight="1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</row>
    <row r="293" spans="1:26" ht="15.75" customHeight="1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</row>
    <row r="294" spans="1:26" ht="15.75" customHeight="1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</row>
    <row r="295" spans="1:26" ht="15.75" customHeight="1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</row>
    <row r="296" spans="1:26" ht="15.75" customHeight="1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</row>
    <row r="297" spans="1:26" ht="15.75" customHeight="1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</row>
    <row r="298" spans="1:26" ht="15.75" customHeight="1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</row>
    <row r="299" spans="1:26" ht="15.75" customHeight="1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</row>
    <row r="300" spans="1:26" ht="15.75" customHeight="1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</row>
    <row r="301" spans="1:26" ht="15.75" customHeight="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</row>
    <row r="302" spans="1:26" ht="15.75" customHeight="1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</row>
    <row r="303" spans="1:26" ht="15.75" customHeight="1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</row>
    <row r="304" spans="1:26" ht="15.75" customHeight="1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</row>
    <row r="305" spans="1:26" ht="15.75" customHeight="1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</row>
    <row r="306" spans="1:26" ht="15.75" customHeight="1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</row>
    <row r="307" spans="1:26" ht="15.75" customHeight="1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</row>
    <row r="308" spans="1:26" ht="15.75" customHeight="1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</row>
    <row r="309" spans="1:26" ht="15.75" customHeight="1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</row>
    <row r="310" spans="1:26" ht="15.75" customHeight="1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</row>
    <row r="311" spans="1:26" ht="15.75" customHeight="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</row>
    <row r="312" spans="1:26" ht="15.75" customHeight="1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</row>
    <row r="313" spans="1:26" ht="15.75" customHeight="1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</row>
    <row r="314" spans="1:26" ht="15.75" customHeight="1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</row>
    <row r="315" spans="1:26" ht="15.75" customHeight="1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</row>
    <row r="316" spans="1:26" ht="15.75" customHeight="1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</row>
    <row r="317" spans="1:26" ht="15.75" customHeight="1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</row>
    <row r="318" spans="1:26" ht="15.75" customHeight="1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</row>
    <row r="319" spans="1:26" ht="15.75" customHeight="1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</row>
    <row r="320" spans="1:26" ht="15.75" customHeight="1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</row>
    <row r="321" spans="1:26" ht="15.75" customHeight="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</row>
    <row r="322" spans="1:26" ht="15.75" customHeight="1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</row>
    <row r="323" spans="1:26" ht="15.75" customHeight="1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</row>
    <row r="324" spans="1:26" ht="15.75" customHeight="1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</row>
    <row r="325" spans="1:26" ht="15.75" customHeight="1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</row>
    <row r="326" spans="1:26" ht="15.75" customHeight="1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</row>
    <row r="327" spans="1:26" ht="15.75" customHeight="1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</row>
    <row r="328" spans="1:26" ht="15.75" customHeight="1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</row>
    <row r="329" spans="1:26" ht="15.75" customHeight="1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</row>
    <row r="330" spans="1:26" ht="15.75" customHeight="1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</row>
    <row r="331" spans="1:26" ht="15.75" customHeight="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</row>
    <row r="332" spans="1:26" ht="15.75" customHeight="1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</row>
    <row r="333" spans="1:26" ht="15.75" customHeight="1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</row>
    <row r="334" spans="1:26" ht="15.75" customHeight="1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</row>
    <row r="335" spans="1:26" ht="15.75" customHeight="1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</row>
    <row r="336" spans="1:26" ht="15.75" customHeight="1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</row>
    <row r="337" spans="1:26" ht="15.75" customHeight="1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</row>
    <row r="338" spans="1:26" ht="15.75" customHeight="1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</row>
    <row r="339" spans="1:26" ht="15.75" customHeight="1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</row>
    <row r="340" spans="1:26" ht="15.75" customHeight="1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</row>
    <row r="341" spans="1:26" ht="15.75" customHeight="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</row>
    <row r="342" spans="1:26" ht="15.75" customHeight="1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</row>
    <row r="343" spans="1:26" ht="15.75" customHeight="1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</row>
    <row r="344" spans="1:26" ht="15.75" customHeight="1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</row>
    <row r="345" spans="1:26" ht="15.75" customHeight="1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</row>
    <row r="346" spans="1:26" ht="15.75" customHeight="1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</row>
    <row r="347" spans="1:26" ht="15.75" customHeight="1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</row>
    <row r="348" spans="1:26" ht="15.75" customHeight="1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</row>
    <row r="349" spans="1:26" ht="15.75" customHeight="1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</row>
    <row r="350" spans="1:26" ht="15.75" customHeight="1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</row>
    <row r="351" spans="1:26" ht="15.75" customHeight="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</row>
    <row r="352" spans="1:26" ht="15.75" customHeight="1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</row>
    <row r="353" spans="1:26" ht="15.75" customHeight="1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</row>
    <row r="354" spans="1:26" ht="15.75" customHeight="1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</row>
    <row r="355" spans="1:26" ht="15.75" customHeight="1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</row>
    <row r="356" spans="1:26" ht="15.75" customHeight="1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</row>
    <row r="357" spans="1:26" ht="15.75" customHeight="1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</row>
    <row r="358" spans="1:26" ht="15.75" customHeight="1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</row>
    <row r="359" spans="1:26" ht="15.75" customHeight="1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</row>
    <row r="360" spans="1:26" ht="15.75" customHeight="1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</row>
    <row r="361" spans="1:26" ht="15.75" customHeight="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</row>
    <row r="362" spans="1:26" ht="15.75" customHeight="1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</row>
    <row r="363" spans="1:26" ht="15.75" customHeight="1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</row>
    <row r="364" spans="1:26" ht="15.75" customHeight="1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</row>
    <row r="365" spans="1:26" ht="15.75" customHeight="1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</row>
    <row r="366" spans="1:26" ht="15.75" customHeight="1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</row>
    <row r="367" spans="1:26" ht="15.75" customHeight="1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</row>
    <row r="368" spans="1:26" ht="15.75" customHeight="1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</row>
    <row r="369" spans="1:26" ht="15.75" customHeight="1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</row>
    <row r="370" spans="1:26" ht="15.75" customHeight="1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</row>
    <row r="371" spans="1:26" ht="15.75" customHeight="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</row>
    <row r="372" spans="1:26" ht="15.75" customHeight="1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</row>
    <row r="373" spans="1:26" ht="15.75" customHeight="1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</row>
    <row r="374" spans="1:26" ht="15.75" customHeight="1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</row>
    <row r="375" spans="1:26" ht="15.75" customHeight="1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</row>
    <row r="376" spans="1:26" ht="15.75" customHeight="1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</row>
    <row r="377" spans="1:26" ht="15.75" customHeight="1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</row>
    <row r="378" spans="1:26" ht="15.75" customHeight="1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</row>
    <row r="379" spans="1:26" ht="15.75" customHeight="1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</row>
    <row r="380" spans="1:26" ht="15.75" customHeight="1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</row>
    <row r="381" spans="1:26" ht="15.75" customHeight="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</row>
    <row r="382" spans="1:26" ht="15.75" customHeight="1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</row>
    <row r="383" spans="1:26" ht="15.75" customHeight="1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</row>
    <row r="384" spans="1:26" ht="15.75" customHeight="1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</row>
    <row r="385" spans="1:26" ht="15.75" customHeight="1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</row>
    <row r="386" spans="1:26" ht="15.75" customHeight="1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</row>
    <row r="387" spans="1:26" ht="15.75" customHeight="1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</row>
    <row r="388" spans="1:26" ht="15.75" customHeight="1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</row>
    <row r="389" spans="1:26" ht="15.75" customHeight="1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</row>
    <row r="390" spans="1:26" ht="15.75" customHeight="1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</row>
    <row r="391" spans="1:26" ht="15.75" customHeight="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</row>
    <row r="392" spans="1:26" ht="15.75" customHeight="1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</row>
    <row r="393" spans="1:26" ht="15.75" customHeight="1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</row>
    <row r="394" spans="1:26" ht="15.75" customHeight="1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</row>
    <row r="395" spans="1:26" ht="15.75" customHeight="1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</row>
    <row r="396" spans="1:26" ht="15.75" customHeight="1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</row>
    <row r="397" spans="1:26" ht="15.75" customHeight="1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</row>
    <row r="398" spans="1:26" ht="15.75" customHeight="1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</row>
    <row r="399" spans="1:26" ht="15.75" customHeight="1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</row>
    <row r="400" spans="1:26" ht="15.75" customHeight="1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</row>
    <row r="401" spans="1:26" ht="15.75" customHeight="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</row>
    <row r="402" spans="1:26" ht="15.75" customHeight="1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</row>
    <row r="403" spans="1:26" ht="15.75" customHeight="1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</row>
    <row r="404" spans="1:26" ht="15.75" customHeight="1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</row>
    <row r="405" spans="1:26" ht="15.75" customHeight="1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</row>
    <row r="406" spans="1:26" ht="15.75" customHeight="1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</row>
    <row r="407" spans="1:26" ht="15.75" customHeight="1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</row>
    <row r="408" spans="1:26" ht="15.75" customHeight="1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</row>
    <row r="409" spans="1:26" ht="15.75" customHeight="1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</row>
    <row r="410" spans="1:26" ht="15.75" customHeight="1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</row>
    <row r="411" spans="1:26" ht="15.75" customHeight="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</row>
    <row r="412" spans="1:26" ht="15.75" customHeight="1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</row>
    <row r="413" spans="1:26" ht="15.75" customHeight="1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</row>
    <row r="414" spans="1:26" ht="15.75" customHeight="1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</row>
    <row r="415" spans="1:26" ht="15.75" customHeight="1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</row>
    <row r="416" spans="1:26" ht="15.75" customHeight="1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</row>
    <row r="417" spans="1:26" ht="15.75" customHeight="1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</row>
    <row r="418" spans="1:26" ht="15.75" customHeight="1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</row>
    <row r="419" spans="1:26" ht="15.75" customHeight="1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</row>
    <row r="420" spans="1:26" ht="15.75" customHeight="1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</row>
    <row r="421" spans="1:26" ht="15.75" customHeight="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</row>
    <row r="422" spans="1:26" ht="15.75" customHeight="1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</row>
    <row r="423" spans="1:26" ht="15.75" customHeight="1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</row>
    <row r="424" spans="1:26" ht="15.75" customHeight="1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</row>
    <row r="425" spans="1:26" ht="15.75" customHeight="1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</row>
    <row r="426" spans="1:26" ht="15.75" customHeight="1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</row>
    <row r="427" spans="1:26" ht="15.75" customHeight="1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</row>
    <row r="428" spans="1:26" ht="15.75" customHeight="1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</row>
    <row r="429" spans="1:26" ht="15.75" customHeight="1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</row>
    <row r="430" spans="1:26" ht="15.75" customHeight="1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</row>
    <row r="431" spans="1:26" ht="15.75" customHeight="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</row>
    <row r="432" spans="1:26" ht="15.75" customHeight="1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</row>
    <row r="433" spans="1:26" ht="15.75" customHeight="1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</row>
    <row r="434" spans="1:26" ht="15.75" customHeight="1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</row>
    <row r="435" spans="1:26" ht="15.75" customHeight="1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</row>
    <row r="436" spans="1:26" ht="15.75" customHeight="1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</row>
    <row r="437" spans="1:26" ht="15.75" customHeight="1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</row>
    <row r="438" spans="1:26" ht="15.75" customHeight="1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</row>
    <row r="439" spans="1:26" ht="15.75" customHeight="1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</row>
    <row r="440" spans="1:26" ht="15.75" customHeight="1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</row>
    <row r="441" spans="1:26" ht="15.75" customHeight="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</row>
    <row r="442" spans="1:26" ht="15.75" customHeight="1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</row>
    <row r="443" spans="1:26" ht="15.75" customHeight="1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</row>
    <row r="444" spans="1:26" ht="15.75" customHeight="1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</row>
    <row r="445" spans="1:26" ht="15.75" customHeight="1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</row>
    <row r="446" spans="1:26" ht="15.75" customHeight="1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</row>
    <row r="447" spans="1:26" ht="15.75" customHeight="1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</row>
    <row r="448" spans="1:26" ht="15.75" customHeight="1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</row>
    <row r="449" spans="1:26" ht="15.75" customHeight="1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</row>
    <row r="450" spans="1:26" ht="15.75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</row>
    <row r="451" spans="1:26" ht="15.75" customHeight="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</row>
    <row r="452" spans="1:26" ht="15.75" customHeight="1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</row>
    <row r="453" spans="1:26" ht="15.75" customHeight="1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</row>
    <row r="454" spans="1:26" ht="15.75" customHeight="1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</row>
    <row r="455" spans="1:26" ht="15.75" customHeight="1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</row>
    <row r="456" spans="1:26" ht="15.75" customHeight="1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</row>
    <row r="457" spans="1:26" ht="15.75" customHeight="1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</row>
    <row r="458" spans="1:26" ht="15.75" customHeight="1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</row>
    <row r="459" spans="1:26" ht="15.75" customHeight="1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</row>
    <row r="460" spans="1:26" ht="15.75" customHeight="1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</row>
    <row r="461" spans="1:26" ht="15.75" customHeight="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</row>
    <row r="462" spans="1:26" ht="15.75" customHeight="1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</row>
    <row r="463" spans="1:26" ht="15.75" customHeight="1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</row>
    <row r="464" spans="1:26" ht="15.75" customHeight="1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</row>
    <row r="465" spans="1:26" ht="15.75" customHeight="1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</row>
    <row r="466" spans="1:26" ht="15.75" customHeight="1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</row>
    <row r="467" spans="1:26" ht="15.75" customHeight="1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</row>
    <row r="468" spans="1:26" ht="15.75" customHeight="1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</row>
    <row r="469" spans="1:26" ht="15.75" customHeight="1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</row>
    <row r="470" spans="1:26" ht="15.75" customHeight="1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</row>
    <row r="471" spans="1:26" ht="15.75" customHeight="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</row>
    <row r="472" spans="1:26" ht="15.75" customHeight="1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</row>
    <row r="473" spans="1:26" ht="15.75" customHeight="1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</row>
    <row r="474" spans="1:26" ht="15.75" customHeight="1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</row>
    <row r="475" spans="1:26" ht="15.75" customHeight="1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</row>
    <row r="476" spans="1:26" ht="15.75" customHeight="1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</row>
    <row r="477" spans="1:26" ht="15.75" customHeight="1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</row>
    <row r="478" spans="1:26" ht="15.75" customHeight="1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</row>
    <row r="479" spans="1:26" ht="15.75" customHeight="1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</row>
    <row r="480" spans="1:26" ht="15.75" customHeight="1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</row>
    <row r="481" spans="1:26" ht="15.75" customHeight="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</row>
    <row r="482" spans="1:26" ht="15.75" customHeight="1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</row>
    <row r="483" spans="1:26" ht="15.75" customHeight="1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</row>
    <row r="484" spans="1:26" ht="15.75" customHeight="1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</row>
    <row r="485" spans="1:26" ht="15.75" customHeight="1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</row>
    <row r="486" spans="1:26" ht="15.75" customHeight="1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</row>
    <row r="487" spans="1:26" ht="15.75" customHeight="1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</row>
    <row r="488" spans="1:26" ht="15.75" customHeight="1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</row>
    <row r="489" spans="1:26" ht="15.75" customHeight="1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</row>
    <row r="490" spans="1:26" ht="15.75" customHeight="1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</row>
    <row r="491" spans="1:26" ht="15.75" customHeight="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</row>
    <row r="492" spans="1:26" ht="15.75" customHeight="1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</row>
    <row r="493" spans="1:26" ht="15.75" customHeight="1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</row>
    <row r="494" spans="1:26" ht="15.75" customHeight="1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</row>
    <row r="495" spans="1:26" ht="15.75" customHeight="1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</row>
    <row r="496" spans="1:26" ht="15.75" customHeight="1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</row>
    <row r="497" spans="1:26" ht="15.75" customHeight="1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</row>
    <row r="498" spans="1:26" ht="15.75" customHeight="1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</row>
    <row r="499" spans="1:26" ht="15.75" customHeight="1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</row>
    <row r="500" spans="1:26" ht="15.75" customHeight="1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</row>
    <row r="501" spans="1:26" ht="15.75" customHeight="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</row>
    <row r="502" spans="1:26" ht="15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</row>
    <row r="503" spans="1:26" ht="15.75" customHeight="1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</row>
    <row r="504" spans="1:26" ht="15.75" customHeight="1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</row>
    <row r="505" spans="1:26" ht="15.75" customHeight="1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</row>
    <row r="506" spans="1:26" ht="15.75" customHeight="1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</row>
    <row r="507" spans="1:26" ht="15.75" customHeight="1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</row>
    <row r="508" spans="1:26" ht="15.75" customHeight="1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</row>
    <row r="509" spans="1:26" ht="15.75" customHeight="1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</row>
    <row r="510" spans="1:26" ht="15.75" customHeight="1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</row>
    <row r="511" spans="1:26" ht="15.75" customHeight="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</row>
    <row r="512" spans="1:26" ht="15.75" customHeight="1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</row>
    <row r="513" spans="1:26" ht="15.75" customHeight="1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</row>
    <row r="514" spans="1:26" ht="15.75" customHeight="1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</row>
    <row r="515" spans="1:26" ht="15.75" customHeight="1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</row>
    <row r="516" spans="1:26" ht="15.75" customHeight="1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</row>
    <row r="517" spans="1:26" ht="15.75" customHeight="1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</row>
    <row r="518" spans="1:26" ht="15.75" customHeight="1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</row>
    <row r="519" spans="1:26" ht="15.75" customHeight="1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</row>
    <row r="520" spans="1:26" ht="15.75" customHeight="1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</row>
    <row r="521" spans="1:26" ht="15.75" customHeight="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</row>
    <row r="522" spans="1:26" ht="15.75" customHeight="1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</row>
    <row r="523" spans="1:26" ht="15.75" customHeight="1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</row>
    <row r="524" spans="1:26" ht="15.75" customHeight="1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</row>
    <row r="525" spans="1:26" ht="15.75" customHeight="1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</row>
    <row r="526" spans="1:26" ht="15.75" customHeight="1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</row>
    <row r="527" spans="1:26" ht="15.75" customHeight="1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</row>
    <row r="528" spans="1:26" ht="15.75" customHeight="1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</row>
    <row r="529" spans="1:26" ht="15.75" customHeight="1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</row>
    <row r="530" spans="1:26" ht="15.75" customHeight="1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</row>
    <row r="531" spans="1:26" ht="15.75" customHeight="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</row>
    <row r="532" spans="1:26" ht="15.75" customHeight="1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</row>
    <row r="533" spans="1:26" ht="15.75" customHeight="1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</row>
    <row r="534" spans="1:26" ht="15.75" customHeight="1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</row>
    <row r="535" spans="1:26" ht="15.75" customHeight="1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</row>
    <row r="536" spans="1:26" ht="15.75" customHeight="1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</row>
    <row r="537" spans="1:26" ht="15.75" customHeight="1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</row>
    <row r="538" spans="1:26" ht="15.75" customHeight="1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</row>
    <row r="539" spans="1:26" ht="15.75" customHeight="1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</row>
    <row r="540" spans="1:26" ht="15.75" customHeight="1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</row>
    <row r="541" spans="1:26" ht="15.75" customHeight="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</row>
    <row r="542" spans="1:26" ht="15.75" customHeight="1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</row>
    <row r="543" spans="1:26" ht="15.75" customHeight="1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</row>
    <row r="544" spans="1:26" ht="15.75" customHeight="1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</row>
    <row r="545" spans="1:26" ht="15.75" customHeight="1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</row>
    <row r="546" spans="1:26" ht="15.75" customHeight="1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</row>
    <row r="547" spans="1:26" ht="15.75" customHeight="1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</row>
    <row r="548" spans="1:26" ht="15.75" customHeight="1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</row>
    <row r="549" spans="1:26" ht="15.75" customHeight="1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</row>
    <row r="550" spans="1:26" ht="15.75" customHeight="1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</row>
    <row r="551" spans="1:26" ht="15.75" customHeight="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</row>
    <row r="552" spans="1:26" ht="15.75" customHeight="1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</row>
    <row r="553" spans="1:26" ht="15.75" customHeight="1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</row>
    <row r="554" spans="1:26" ht="15.75" customHeight="1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</row>
    <row r="555" spans="1:26" ht="15.75" customHeight="1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</row>
    <row r="556" spans="1:26" ht="15.75" customHeight="1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</row>
    <row r="557" spans="1:26" ht="15.75" customHeight="1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</row>
    <row r="558" spans="1:26" ht="15.75" customHeight="1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</row>
    <row r="559" spans="1:26" ht="15.75" customHeight="1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</row>
    <row r="560" spans="1:26" ht="15.75" customHeight="1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</row>
    <row r="561" spans="1:26" ht="15.75" customHeight="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</row>
    <row r="562" spans="1:26" ht="15.75" customHeight="1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</row>
    <row r="563" spans="1:26" ht="15.75" customHeight="1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</row>
    <row r="564" spans="1:26" ht="15.75" customHeight="1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</row>
    <row r="565" spans="1:26" ht="15.75" customHeight="1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</row>
    <row r="566" spans="1:26" ht="15.75" customHeight="1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</row>
    <row r="567" spans="1:26" ht="15.75" customHeight="1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</row>
    <row r="568" spans="1:26" ht="15.75" customHeight="1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</row>
    <row r="569" spans="1:26" ht="15.75" customHeight="1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</row>
    <row r="570" spans="1:26" ht="15.75" customHeight="1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</row>
    <row r="571" spans="1:26" ht="15.75" customHeight="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</row>
    <row r="572" spans="1:26" ht="15.75" customHeight="1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</row>
    <row r="573" spans="1:26" ht="15.75" customHeight="1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</row>
    <row r="574" spans="1:26" ht="15.75" customHeight="1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</row>
    <row r="575" spans="1:26" ht="15.75" customHeight="1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</row>
    <row r="576" spans="1:26" ht="15.75" customHeight="1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</row>
    <row r="577" spans="1:26" ht="15.75" customHeight="1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</row>
    <row r="578" spans="1:26" ht="15.75" customHeight="1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</row>
    <row r="579" spans="1:26" ht="15.75" customHeight="1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</row>
    <row r="580" spans="1:26" ht="15.75" customHeight="1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</row>
    <row r="581" spans="1:26" ht="15.75" customHeight="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</row>
    <row r="582" spans="1:26" ht="15.75" customHeight="1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</row>
    <row r="583" spans="1:26" ht="15.75" customHeight="1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</row>
    <row r="584" spans="1:26" ht="15.75" customHeight="1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</row>
    <row r="585" spans="1:26" ht="15.75" customHeight="1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</row>
    <row r="586" spans="1:26" ht="15.75" customHeight="1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</row>
    <row r="587" spans="1:26" ht="15.75" customHeight="1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</row>
    <row r="588" spans="1:26" ht="15.75" customHeight="1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</row>
    <row r="589" spans="1:26" ht="15.75" customHeight="1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</row>
    <row r="590" spans="1:26" ht="15.75" customHeight="1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</row>
    <row r="591" spans="1:26" ht="15.75" customHeight="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</row>
    <row r="592" spans="1:26" ht="15.75" customHeight="1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</row>
    <row r="593" spans="1:26" ht="15.75" customHeight="1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</row>
    <row r="594" spans="1:26" ht="15.75" customHeight="1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</row>
    <row r="595" spans="1:26" ht="15.75" customHeight="1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</row>
    <row r="596" spans="1:26" ht="15.75" customHeight="1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</row>
    <row r="597" spans="1:26" ht="15.75" customHeight="1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</row>
    <row r="598" spans="1:26" ht="15.75" customHeight="1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</row>
    <row r="599" spans="1:26" ht="15.75" customHeight="1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</row>
    <row r="600" spans="1:26" ht="15.75" customHeight="1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</row>
    <row r="601" spans="1:26" ht="15.75" customHeight="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</row>
    <row r="602" spans="1:26" ht="15.75" customHeight="1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</row>
    <row r="603" spans="1:26" ht="15.75" customHeight="1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</row>
    <row r="604" spans="1:26" ht="15.75" customHeight="1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</row>
    <row r="605" spans="1:26" ht="15.75" customHeight="1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</row>
    <row r="606" spans="1:26" ht="15.75" customHeight="1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</row>
    <row r="607" spans="1:26" ht="15.75" customHeight="1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</row>
    <row r="608" spans="1:26" ht="15.75" customHeight="1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</row>
    <row r="609" spans="1:26" ht="15.75" customHeight="1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</row>
    <row r="610" spans="1:26" ht="15.75" customHeight="1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</row>
    <row r="611" spans="1:26" ht="15.75" customHeight="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</row>
    <row r="612" spans="1:26" ht="15.75" customHeight="1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</row>
    <row r="613" spans="1:26" ht="15.75" customHeight="1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</row>
    <row r="614" spans="1:26" ht="15.75" customHeight="1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</row>
    <row r="615" spans="1:26" ht="15.75" customHeight="1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</row>
    <row r="616" spans="1:26" ht="15.75" customHeight="1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</row>
    <row r="617" spans="1:26" ht="15.75" customHeight="1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</row>
    <row r="618" spans="1:26" ht="15.75" customHeight="1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</row>
    <row r="619" spans="1:26" ht="15.75" customHeight="1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</row>
    <row r="620" spans="1:26" ht="15.75" customHeight="1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</row>
    <row r="621" spans="1:26" ht="15.75" customHeight="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</row>
    <row r="622" spans="1:26" ht="15.75" customHeight="1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</row>
    <row r="623" spans="1:26" ht="15.75" customHeight="1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</row>
    <row r="624" spans="1:26" ht="15.75" customHeight="1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</row>
    <row r="625" spans="1:26" ht="15.75" customHeight="1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</row>
    <row r="626" spans="1:26" ht="15.75" customHeight="1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</row>
    <row r="627" spans="1:26" ht="15.75" customHeight="1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</row>
    <row r="628" spans="1:26" ht="15.75" customHeight="1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</row>
    <row r="629" spans="1:26" ht="15.75" customHeight="1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</row>
    <row r="630" spans="1:26" ht="15.75" customHeight="1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</row>
    <row r="631" spans="1:26" ht="15.75" customHeight="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</row>
    <row r="632" spans="1:26" ht="15.75" customHeight="1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</row>
    <row r="633" spans="1:26" ht="15.75" customHeight="1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</row>
    <row r="634" spans="1:26" ht="15.75" customHeight="1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</row>
    <row r="635" spans="1:26" ht="15.75" customHeight="1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</row>
    <row r="636" spans="1:26" ht="15.75" customHeight="1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</row>
    <row r="637" spans="1:26" ht="15.75" customHeight="1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</row>
    <row r="638" spans="1:26" ht="15.75" customHeight="1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</row>
    <row r="639" spans="1:26" ht="15.75" customHeight="1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</row>
    <row r="640" spans="1:26" ht="15.75" customHeight="1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</row>
    <row r="641" spans="1:26" ht="15.75" customHeight="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</row>
    <row r="642" spans="1:26" ht="15.75" customHeight="1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</row>
    <row r="643" spans="1:26" ht="15.75" customHeight="1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</row>
    <row r="644" spans="1:26" ht="15.75" customHeight="1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</row>
    <row r="645" spans="1:26" ht="15.75" customHeight="1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</row>
    <row r="646" spans="1:26" ht="15.75" customHeight="1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</row>
    <row r="647" spans="1:26" ht="15.75" customHeight="1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</row>
    <row r="648" spans="1:26" ht="15.75" customHeight="1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</row>
    <row r="649" spans="1:26" ht="15.75" customHeight="1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</row>
    <row r="650" spans="1:26" ht="15.75" customHeight="1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</row>
    <row r="651" spans="1:26" ht="15.75" customHeight="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</row>
    <row r="652" spans="1:26" ht="15.75" customHeight="1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</row>
    <row r="653" spans="1:26" ht="15.75" customHeight="1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</row>
    <row r="654" spans="1:26" ht="15.75" customHeight="1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</row>
    <row r="655" spans="1:26" ht="15.75" customHeight="1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</row>
    <row r="656" spans="1:26" ht="15.75" customHeight="1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</row>
    <row r="657" spans="1:26" ht="15.75" customHeight="1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</row>
    <row r="658" spans="1:26" ht="15.75" customHeight="1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</row>
    <row r="659" spans="1:26" ht="15.75" customHeight="1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</row>
    <row r="660" spans="1:26" ht="15.75" customHeight="1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</row>
    <row r="661" spans="1:26" ht="15.75" customHeight="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</row>
    <row r="662" spans="1:26" ht="15.75" customHeight="1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</row>
    <row r="663" spans="1:26" ht="15.75" customHeight="1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</row>
    <row r="664" spans="1:26" ht="15.75" customHeight="1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</row>
    <row r="665" spans="1:26" ht="15.75" customHeight="1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</row>
    <row r="666" spans="1:26" ht="15.75" customHeight="1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</row>
    <row r="667" spans="1:26" ht="15.75" customHeight="1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</row>
    <row r="668" spans="1:26" ht="15.75" customHeight="1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</row>
    <row r="669" spans="1:26" ht="15.75" customHeight="1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</row>
    <row r="670" spans="1:26" ht="15.75" customHeight="1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</row>
    <row r="671" spans="1:26" ht="15.75" customHeight="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</row>
    <row r="672" spans="1:26" ht="15.75" customHeight="1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</row>
    <row r="673" spans="1:26" ht="15.75" customHeight="1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</row>
    <row r="674" spans="1:26" ht="15.75" customHeight="1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</row>
    <row r="675" spans="1:26" ht="15.75" customHeight="1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</row>
    <row r="676" spans="1:26" ht="15.75" customHeight="1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</row>
    <row r="677" spans="1:26" ht="15.75" customHeight="1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</row>
    <row r="678" spans="1:26" ht="15.75" customHeight="1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</row>
    <row r="679" spans="1:26" ht="15.75" customHeight="1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</row>
    <row r="680" spans="1:26" ht="15.75" customHeight="1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</row>
    <row r="681" spans="1:26" ht="15.75" customHeight="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</row>
    <row r="682" spans="1:26" ht="15.75" customHeight="1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</row>
    <row r="683" spans="1:26" ht="15.75" customHeight="1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</row>
    <row r="684" spans="1:26" ht="15.75" customHeight="1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</row>
    <row r="685" spans="1:26" ht="15.75" customHeight="1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</row>
    <row r="686" spans="1:26" ht="15.75" customHeight="1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</row>
    <row r="687" spans="1:26" ht="15.75" customHeight="1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</row>
    <row r="688" spans="1:26" ht="15.75" customHeight="1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</row>
    <row r="689" spans="1:26" ht="15.75" customHeight="1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</row>
    <row r="690" spans="1:26" ht="15.75" customHeight="1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</row>
    <row r="691" spans="1:26" ht="15.75" customHeight="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</row>
    <row r="692" spans="1:26" ht="15.75" customHeight="1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</row>
    <row r="693" spans="1:26" ht="15.75" customHeight="1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</row>
    <row r="694" spans="1:26" ht="15.75" customHeight="1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</row>
    <row r="695" spans="1:26" ht="15.75" customHeight="1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</row>
    <row r="696" spans="1:26" ht="15.75" customHeight="1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</row>
    <row r="697" spans="1:26" ht="15.75" customHeight="1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</row>
    <row r="698" spans="1:26" ht="15.75" customHeight="1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</row>
    <row r="699" spans="1:26" ht="15.75" customHeight="1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</row>
    <row r="700" spans="1:26" ht="15.75" customHeight="1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</row>
    <row r="701" spans="1:26" ht="15.75" customHeight="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</row>
    <row r="702" spans="1:26" ht="15.75" customHeight="1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</row>
    <row r="703" spans="1:26" ht="15.75" customHeight="1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</row>
    <row r="704" spans="1:26" ht="15.75" customHeight="1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</row>
    <row r="705" spans="1:26" ht="15.75" customHeight="1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</row>
    <row r="706" spans="1:26" ht="15.75" customHeight="1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</row>
    <row r="707" spans="1:26" ht="15.75" customHeight="1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</row>
    <row r="708" spans="1:26" ht="15.75" customHeight="1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</row>
    <row r="709" spans="1:26" ht="15.75" customHeight="1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</row>
    <row r="710" spans="1:26" ht="15.75" customHeight="1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</row>
    <row r="711" spans="1:26" ht="15.75" customHeight="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</row>
    <row r="712" spans="1:26" ht="15.75" customHeight="1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</row>
    <row r="713" spans="1:26" ht="15.75" customHeight="1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</row>
    <row r="714" spans="1:26" ht="15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</row>
    <row r="715" spans="1:26" ht="15.75" customHeight="1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</row>
    <row r="716" spans="1:26" ht="15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</row>
    <row r="717" spans="1:26" ht="15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</row>
    <row r="718" spans="1:26" ht="15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</row>
    <row r="719" spans="1:26" ht="15.75" customHeight="1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</row>
    <row r="720" spans="1:26" ht="15.75" customHeight="1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</row>
    <row r="721" spans="1:26" ht="15.75" customHeight="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</row>
    <row r="722" spans="1:26" ht="15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</row>
    <row r="723" spans="1:26" ht="15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</row>
    <row r="724" spans="1:26" ht="15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</row>
    <row r="725" spans="1:26" ht="15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</row>
    <row r="726" spans="1:26" ht="15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</row>
    <row r="727" spans="1:26" ht="15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</row>
    <row r="728" spans="1:26" ht="15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</row>
    <row r="729" spans="1:26" ht="15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</row>
    <row r="730" spans="1:26" ht="15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</row>
    <row r="731" spans="1:26" ht="15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</row>
    <row r="732" spans="1:26" ht="15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</row>
    <row r="733" spans="1:26" ht="15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</row>
    <row r="734" spans="1:26" ht="15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</row>
    <row r="735" spans="1:26" ht="15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</row>
    <row r="736" spans="1:26" ht="15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</row>
    <row r="737" spans="1:26" ht="15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</row>
    <row r="738" spans="1:26" ht="15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</row>
    <row r="739" spans="1:26" ht="15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</row>
    <row r="740" spans="1:26" ht="15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</row>
    <row r="741" spans="1:26" ht="15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</row>
    <row r="742" spans="1:26" ht="15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</row>
    <row r="743" spans="1:26" ht="15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</row>
    <row r="744" spans="1:26" ht="15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</row>
    <row r="745" spans="1:26" ht="15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</row>
    <row r="746" spans="1:26" ht="15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</row>
    <row r="747" spans="1:26" ht="15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</row>
    <row r="748" spans="1:26" ht="15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</row>
    <row r="749" spans="1:26" ht="15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</row>
    <row r="750" spans="1:26" ht="15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</row>
    <row r="751" spans="1:26" ht="15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</row>
    <row r="752" spans="1:26" ht="15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</row>
    <row r="753" spans="1:26" ht="15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</row>
    <row r="754" spans="1:26" ht="15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</row>
    <row r="755" spans="1:26" ht="15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</row>
    <row r="756" spans="1:26" ht="15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</row>
    <row r="757" spans="1:26" ht="15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</row>
    <row r="758" spans="1:26" ht="15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</row>
    <row r="759" spans="1:26" ht="15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</row>
    <row r="760" spans="1:26" ht="15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</row>
    <row r="761" spans="1:26" ht="15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</row>
    <row r="762" spans="1:26" ht="15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</row>
    <row r="763" spans="1:26" ht="15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</row>
    <row r="764" spans="1:26" ht="15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</row>
    <row r="765" spans="1:26" ht="15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</row>
    <row r="766" spans="1:26" ht="15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</row>
    <row r="767" spans="1:26" ht="15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</row>
    <row r="768" spans="1:26" ht="15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</row>
    <row r="769" spans="1:26" ht="15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</row>
    <row r="770" spans="1:26" ht="15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</row>
    <row r="771" spans="1:26" ht="15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</row>
    <row r="772" spans="1:26" ht="15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</row>
    <row r="773" spans="1:26" ht="15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</row>
    <row r="774" spans="1:26" ht="15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</row>
    <row r="775" spans="1:26" ht="15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</row>
    <row r="776" spans="1:26" ht="15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</row>
    <row r="777" spans="1:26" ht="15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</row>
    <row r="778" spans="1:26" ht="15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</row>
    <row r="779" spans="1:26" ht="15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</row>
    <row r="780" spans="1:26" ht="15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</row>
    <row r="781" spans="1:26" ht="15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</row>
    <row r="782" spans="1:26" ht="15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</row>
    <row r="783" spans="1:26" ht="15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</row>
    <row r="784" spans="1:26" ht="15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</row>
    <row r="785" spans="1:26" ht="15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</row>
    <row r="786" spans="1:26" ht="15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</row>
    <row r="787" spans="1:26" ht="15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</row>
    <row r="788" spans="1:26" ht="15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</row>
    <row r="789" spans="1:26" ht="15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</row>
    <row r="790" spans="1:26" ht="15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</row>
    <row r="791" spans="1:26" ht="15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</row>
    <row r="792" spans="1:26" ht="15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</row>
    <row r="793" spans="1:26" ht="15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</row>
    <row r="794" spans="1:26" ht="15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</row>
    <row r="795" spans="1:26" ht="15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</row>
    <row r="796" spans="1:26" ht="15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</row>
    <row r="797" spans="1:26" ht="15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</row>
    <row r="798" spans="1:26" ht="15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</row>
    <row r="799" spans="1:26" ht="15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</row>
    <row r="800" spans="1:26" ht="15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</row>
    <row r="801" spans="1:26" ht="15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</row>
    <row r="802" spans="1:26" ht="15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</row>
    <row r="803" spans="1:26" ht="15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</row>
    <row r="804" spans="1:26" ht="15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</row>
    <row r="805" spans="1:26" ht="15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</row>
    <row r="806" spans="1:26" ht="15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</row>
    <row r="807" spans="1:26" ht="15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</row>
    <row r="808" spans="1:26" ht="15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</row>
    <row r="809" spans="1:26" ht="15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</row>
    <row r="810" spans="1:26" ht="15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</row>
    <row r="811" spans="1:26" ht="15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</row>
    <row r="812" spans="1:26" ht="15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</row>
    <row r="813" spans="1:26" ht="15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</row>
    <row r="814" spans="1:26" ht="15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</row>
    <row r="815" spans="1:26" ht="15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</row>
    <row r="816" spans="1:26" ht="15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</row>
    <row r="817" spans="1:26" ht="15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</row>
    <row r="818" spans="1:26" ht="15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</row>
    <row r="819" spans="1:26" ht="15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</row>
    <row r="820" spans="1:26" ht="15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</row>
    <row r="821" spans="1:26" ht="15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</row>
    <row r="822" spans="1:26" ht="15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</row>
    <row r="823" spans="1:26" ht="15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</row>
    <row r="824" spans="1:26" ht="15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</row>
    <row r="825" spans="1:26" ht="15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</row>
    <row r="826" spans="1:26" ht="15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</row>
    <row r="827" spans="1:26" ht="15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</row>
    <row r="828" spans="1:26" ht="15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</row>
    <row r="829" spans="1:26" ht="15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</row>
    <row r="830" spans="1:26" ht="15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</row>
    <row r="831" spans="1:26" ht="15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</row>
    <row r="832" spans="1:26" ht="15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</row>
    <row r="833" spans="1:26" ht="15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</row>
    <row r="834" spans="1:26" ht="15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</row>
    <row r="835" spans="1:26" ht="15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</row>
    <row r="836" spans="1:26" ht="15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</row>
    <row r="837" spans="1:26" ht="15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</row>
    <row r="838" spans="1:26" ht="15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</row>
    <row r="839" spans="1:26" ht="15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</row>
    <row r="840" spans="1:26" ht="15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</row>
    <row r="841" spans="1:26" ht="15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</row>
    <row r="842" spans="1:26" ht="15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</row>
    <row r="843" spans="1:26" ht="15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</row>
    <row r="844" spans="1:26" ht="15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</row>
    <row r="845" spans="1:26" ht="15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</row>
    <row r="846" spans="1:26" ht="15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</row>
    <row r="847" spans="1:26" ht="15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</row>
    <row r="848" spans="1:26" ht="15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</row>
    <row r="849" spans="1:26" ht="15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</row>
    <row r="850" spans="1:26" ht="15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</row>
    <row r="851" spans="1:26" ht="15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</row>
    <row r="852" spans="1:26" ht="15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</row>
    <row r="853" spans="1:26" ht="15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</row>
    <row r="854" spans="1:26" ht="15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</row>
    <row r="855" spans="1:26" ht="15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</row>
    <row r="856" spans="1:26" ht="15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</row>
    <row r="857" spans="1:26" ht="15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</row>
    <row r="858" spans="1:26" ht="15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</row>
    <row r="859" spans="1:26" ht="15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</row>
    <row r="860" spans="1:26" ht="15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</row>
    <row r="861" spans="1:26" ht="15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</row>
    <row r="862" spans="1:26" ht="15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</row>
    <row r="863" spans="1:26" ht="15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</row>
    <row r="864" spans="1:26" ht="15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</row>
    <row r="865" spans="1:26" ht="15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</row>
    <row r="866" spans="1:26" ht="15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</row>
    <row r="867" spans="1:26" ht="15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</row>
    <row r="868" spans="1:26" ht="15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</row>
    <row r="869" spans="1:26" ht="15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</row>
    <row r="870" spans="1:26" ht="15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</row>
    <row r="871" spans="1:26" ht="15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</row>
    <row r="872" spans="1:26" ht="15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</row>
    <row r="873" spans="1:26" ht="15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</row>
    <row r="874" spans="1:26" ht="15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</row>
    <row r="875" spans="1:26" ht="15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</row>
    <row r="876" spans="1:26" ht="15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</row>
    <row r="877" spans="1:26" ht="15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</row>
    <row r="878" spans="1:26" ht="15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</row>
    <row r="879" spans="1:26" ht="15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</row>
    <row r="880" spans="1:26" ht="15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</row>
    <row r="881" spans="1:26" ht="15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</row>
    <row r="882" spans="1:26" ht="15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</row>
    <row r="883" spans="1:26" ht="15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</row>
    <row r="884" spans="1:26" ht="15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</row>
    <row r="885" spans="1:26" ht="15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</row>
    <row r="886" spans="1:26" ht="15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</row>
    <row r="887" spans="1:26" ht="15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</row>
    <row r="888" spans="1:26" ht="15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</row>
    <row r="889" spans="1:26" ht="15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</row>
    <row r="890" spans="1:26" ht="15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</row>
    <row r="891" spans="1:26" ht="15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</row>
    <row r="892" spans="1:26" ht="15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</row>
    <row r="893" spans="1:26" ht="15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</row>
    <row r="894" spans="1:26" ht="15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</row>
    <row r="895" spans="1:26" ht="15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</row>
    <row r="896" spans="1:26" ht="15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</row>
    <row r="897" spans="1:26" ht="15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</row>
    <row r="898" spans="1:26" ht="15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</row>
    <row r="899" spans="1:26" ht="15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</row>
    <row r="900" spans="1:26" ht="15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</row>
    <row r="901" spans="1:26" ht="15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</row>
    <row r="902" spans="1:26" ht="15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</row>
    <row r="903" spans="1:26" ht="15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</row>
    <row r="904" spans="1:26" ht="15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</row>
    <row r="905" spans="1:26" ht="15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</row>
    <row r="906" spans="1:26" ht="15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</row>
    <row r="907" spans="1:26" ht="15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</row>
    <row r="908" spans="1:26" ht="15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</row>
    <row r="909" spans="1:26" ht="15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</row>
    <row r="910" spans="1:26" ht="15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</row>
    <row r="911" spans="1:26" ht="15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</row>
    <row r="912" spans="1:26" ht="15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</row>
    <row r="913" spans="1:26" ht="15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</row>
    <row r="914" spans="1:26" ht="15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</row>
    <row r="915" spans="1:26" ht="15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</row>
    <row r="916" spans="1:26" ht="15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</row>
    <row r="917" spans="1:26" ht="15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</row>
    <row r="918" spans="1:26" ht="15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</row>
    <row r="919" spans="1:26" ht="15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</row>
    <row r="920" spans="1:26" ht="15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</row>
    <row r="921" spans="1:26" ht="15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</row>
    <row r="922" spans="1:26" ht="15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</row>
    <row r="923" spans="1:26" ht="15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</row>
    <row r="924" spans="1:26" ht="15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</row>
    <row r="925" spans="1:26" ht="15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</row>
    <row r="926" spans="1:26" ht="15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</row>
    <row r="927" spans="1:26" ht="15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</row>
    <row r="928" spans="1:26" ht="15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</row>
    <row r="929" spans="1:26" ht="15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</row>
    <row r="930" spans="1:26" ht="15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</row>
    <row r="931" spans="1:26" ht="15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</row>
    <row r="932" spans="1:26" ht="15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</row>
    <row r="933" spans="1:26" ht="15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</row>
    <row r="934" spans="1:26" ht="15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</row>
    <row r="935" spans="1:26" ht="15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</row>
    <row r="936" spans="1:26" ht="15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</row>
    <row r="937" spans="1:26" ht="15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</row>
    <row r="938" spans="1:26" ht="15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</row>
    <row r="939" spans="1:26" ht="15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</row>
    <row r="940" spans="1:26" ht="15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</row>
    <row r="941" spans="1:26" ht="15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</row>
    <row r="942" spans="1:26" ht="15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</row>
    <row r="943" spans="1:26" ht="15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</row>
    <row r="944" spans="1:26" ht="15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</row>
    <row r="945" spans="1:26" ht="15.75" customHeight="1">
      <c r="A945" s="216"/>
      <c r="B945" s="216"/>
      <c r="C945" s="216"/>
      <c r="D945" s="216"/>
      <c r="E945" s="216"/>
      <c r="F945" s="216"/>
      <c r="G945" s="216"/>
      <c r="H945" s="216"/>
      <c r="I945" s="216"/>
      <c r="J945" s="216"/>
      <c r="K945" s="216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  <c r="W945" s="216"/>
      <c r="X945" s="216"/>
      <c r="Y945" s="216"/>
      <c r="Z945" s="216"/>
    </row>
    <row r="946" spans="1:26" ht="15.75" customHeight="1">
      <c r="A946" s="216"/>
      <c r="B946" s="216"/>
      <c r="C946" s="216"/>
      <c r="D946" s="216"/>
      <c r="E946" s="216"/>
      <c r="F946" s="216"/>
      <c r="G946" s="216"/>
      <c r="H946" s="216"/>
      <c r="I946" s="216"/>
      <c r="J946" s="216"/>
      <c r="K946" s="216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  <c r="W946" s="216"/>
      <c r="X946" s="216"/>
      <c r="Y946" s="216"/>
      <c r="Z946" s="216"/>
    </row>
    <row r="947" spans="1:26" ht="15.75" customHeight="1">
      <c r="A947" s="216"/>
      <c r="B947" s="216"/>
      <c r="C947" s="216"/>
      <c r="D947" s="216"/>
      <c r="E947" s="216"/>
      <c r="F947" s="216"/>
      <c r="G947" s="216"/>
      <c r="H947" s="216"/>
      <c r="I947" s="216"/>
      <c r="J947" s="216"/>
      <c r="K947" s="216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  <c r="W947" s="216"/>
      <c r="X947" s="216"/>
      <c r="Y947" s="216"/>
      <c r="Z947" s="216"/>
    </row>
    <row r="948" spans="1:26" ht="15.75" customHeight="1">
      <c r="A948" s="216"/>
      <c r="B948" s="216"/>
      <c r="C948" s="216"/>
      <c r="D948" s="216"/>
      <c r="E948" s="216"/>
      <c r="F948" s="216"/>
      <c r="G948" s="216"/>
      <c r="H948" s="216"/>
      <c r="I948" s="216"/>
      <c r="J948" s="216"/>
      <c r="K948" s="216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  <c r="W948" s="216"/>
      <c r="X948" s="216"/>
      <c r="Y948" s="216"/>
      <c r="Z948" s="216"/>
    </row>
    <row r="949" spans="1:26" ht="15.75" customHeight="1">
      <c r="A949" s="216"/>
      <c r="B949" s="216"/>
      <c r="C949" s="216"/>
      <c r="D949" s="216"/>
      <c r="E949" s="216"/>
      <c r="F949" s="216"/>
      <c r="G949" s="216"/>
      <c r="H949" s="216"/>
      <c r="I949" s="216"/>
      <c r="J949" s="216"/>
      <c r="K949" s="216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  <c r="W949" s="216"/>
      <c r="X949" s="216"/>
      <c r="Y949" s="216"/>
      <c r="Z949" s="216"/>
    </row>
    <row r="950" spans="1:26" ht="15.75" customHeight="1">
      <c r="A950" s="216"/>
      <c r="B950" s="216"/>
      <c r="C950" s="216"/>
      <c r="D950" s="216"/>
      <c r="E950" s="216"/>
      <c r="F950" s="216"/>
      <c r="G950" s="216"/>
      <c r="H950" s="216"/>
      <c r="I950" s="216"/>
      <c r="J950" s="216"/>
      <c r="K950" s="216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  <c r="W950" s="216"/>
      <c r="X950" s="216"/>
      <c r="Y950" s="216"/>
      <c r="Z950" s="216"/>
    </row>
    <row r="951" spans="1:26" ht="15.75" customHeight="1">
      <c r="A951" s="216"/>
      <c r="B951" s="216"/>
      <c r="C951" s="216"/>
      <c r="D951" s="216"/>
      <c r="E951" s="216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  <c r="W951" s="216"/>
      <c r="X951" s="216"/>
      <c r="Y951" s="216"/>
      <c r="Z951" s="216"/>
    </row>
    <row r="952" spans="1:26" ht="15.75" customHeight="1">
      <c r="A952" s="216"/>
      <c r="B952" s="216"/>
      <c r="C952" s="216"/>
      <c r="D952" s="216"/>
      <c r="E952" s="216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  <c r="W952" s="216"/>
      <c r="X952" s="216"/>
      <c r="Y952" s="216"/>
      <c r="Z952" s="216"/>
    </row>
    <row r="953" spans="1:26" ht="15.75" customHeight="1">
      <c r="A953" s="216"/>
      <c r="B953" s="216"/>
      <c r="C953" s="216"/>
      <c r="D953" s="216"/>
      <c r="E953" s="216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  <c r="W953" s="216"/>
      <c r="X953" s="216"/>
      <c r="Y953" s="216"/>
      <c r="Z953" s="216"/>
    </row>
    <row r="954" spans="1:26" ht="15.75" customHeight="1">
      <c r="A954" s="216"/>
      <c r="B954" s="216"/>
      <c r="C954" s="216"/>
      <c r="D954" s="216"/>
      <c r="E954" s="216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  <c r="W954" s="216"/>
      <c r="X954" s="216"/>
      <c r="Y954" s="216"/>
      <c r="Z954" s="216"/>
    </row>
    <row r="955" spans="1:26" ht="15.75" customHeight="1">
      <c r="A955" s="216"/>
      <c r="B955" s="216"/>
      <c r="C955" s="216"/>
      <c r="D955" s="216"/>
      <c r="E955" s="216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  <c r="W955" s="216"/>
      <c r="X955" s="216"/>
      <c r="Y955" s="216"/>
      <c r="Z955" s="216"/>
    </row>
    <row r="956" spans="1:26" ht="15.75" customHeight="1">
      <c r="A956" s="216"/>
      <c r="B956" s="216"/>
      <c r="C956" s="216"/>
      <c r="D956" s="216"/>
      <c r="E956" s="216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  <c r="W956" s="216"/>
      <c r="X956" s="216"/>
      <c r="Y956" s="216"/>
      <c r="Z956" s="216"/>
    </row>
    <row r="957" spans="1:26" ht="15.75" customHeight="1">
      <c r="A957" s="216"/>
      <c r="B957" s="216"/>
      <c r="C957" s="216"/>
      <c r="D957" s="216"/>
      <c r="E957" s="216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  <c r="W957" s="216"/>
      <c r="X957" s="216"/>
      <c r="Y957" s="216"/>
      <c r="Z957" s="216"/>
    </row>
    <row r="958" spans="1:26" ht="15.75" customHeight="1">
      <c r="A958" s="216"/>
      <c r="B958" s="216"/>
      <c r="C958" s="216"/>
      <c r="D958" s="216"/>
      <c r="E958" s="216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  <c r="W958" s="216"/>
      <c r="X958" s="216"/>
      <c r="Y958" s="216"/>
      <c r="Z958" s="216"/>
    </row>
    <row r="959" spans="1:26" ht="15.75" customHeight="1">
      <c r="A959" s="216"/>
      <c r="B959" s="216"/>
      <c r="C959" s="216"/>
      <c r="D959" s="216"/>
      <c r="E959" s="216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  <c r="W959" s="216"/>
      <c r="X959" s="216"/>
      <c r="Y959" s="216"/>
      <c r="Z959" s="216"/>
    </row>
    <row r="960" spans="1:26" ht="15.75" customHeight="1">
      <c r="A960" s="216"/>
      <c r="B960" s="216"/>
      <c r="C960" s="216"/>
      <c r="D960" s="216"/>
      <c r="E960" s="216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  <c r="W960" s="216"/>
      <c r="X960" s="216"/>
      <c r="Y960" s="216"/>
      <c r="Z960" s="216"/>
    </row>
    <row r="961" spans="1:26" ht="15.75" customHeight="1">
      <c r="A961" s="216"/>
      <c r="B961" s="216"/>
      <c r="C961" s="216"/>
      <c r="D961" s="216"/>
      <c r="E961" s="216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  <c r="W961" s="216"/>
      <c r="X961" s="216"/>
      <c r="Y961" s="216"/>
      <c r="Z961" s="216"/>
    </row>
    <row r="962" spans="1:26" ht="15.75" customHeight="1">
      <c r="A962" s="216"/>
      <c r="B962" s="216"/>
      <c r="C962" s="216"/>
      <c r="D962" s="216"/>
      <c r="E962" s="216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  <c r="W962" s="216"/>
      <c r="X962" s="216"/>
      <c r="Y962" s="216"/>
      <c r="Z962" s="216"/>
    </row>
    <row r="963" spans="1:26" ht="15.75" customHeight="1">
      <c r="A963" s="216"/>
      <c r="B963" s="216"/>
      <c r="C963" s="216"/>
      <c r="D963" s="216"/>
      <c r="E963" s="216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  <c r="W963" s="216"/>
      <c r="X963" s="216"/>
      <c r="Y963" s="216"/>
      <c r="Z963" s="216"/>
    </row>
    <row r="964" spans="1:26" ht="15.75" customHeight="1">
      <c r="A964" s="216"/>
      <c r="B964" s="216"/>
      <c r="C964" s="216"/>
      <c r="D964" s="216"/>
      <c r="E964" s="216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  <c r="W964" s="216"/>
      <c r="X964" s="216"/>
      <c r="Y964" s="216"/>
      <c r="Z964" s="216"/>
    </row>
    <row r="965" spans="1:26" ht="15.75" customHeight="1">
      <c r="A965" s="216"/>
      <c r="B965" s="216"/>
      <c r="C965" s="216"/>
      <c r="D965" s="216"/>
      <c r="E965" s="216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  <c r="W965" s="216"/>
      <c r="X965" s="216"/>
      <c r="Y965" s="216"/>
      <c r="Z965" s="216"/>
    </row>
    <row r="966" spans="1:26" ht="15.75" customHeight="1">
      <c r="A966" s="216"/>
      <c r="B966" s="216"/>
      <c r="C966" s="216"/>
      <c r="D966" s="216"/>
      <c r="E966" s="216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  <c r="W966" s="216"/>
      <c r="X966" s="216"/>
      <c r="Y966" s="216"/>
      <c r="Z966" s="216"/>
    </row>
    <row r="967" spans="1:26" ht="15.75" customHeight="1">
      <c r="A967" s="216"/>
      <c r="B967" s="216"/>
      <c r="C967" s="216"/>
      <c r="D967" s="216"/>
      <c r="E967" s="216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  <c r="W967" s="216"/>
      <c r="X967" s="216"/>
      <c r="Y967" s="216"/>
      <c r="Z967" s="216"/>
    </row>
    <row r="968" spans="1:26" ht="15.75" customHeight="1">
      <c r="A968" s="216"/>
      <c r="B968" s="216"/>
      <c r="C968" s="216"/>
      <c r="D968" s="216"/>
      <c r="E968" s="216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  <c r="W968" s="216"/>
      <c r="X968" s="216"/>
      <c r="Y968" s="216"/>
      <c r="Z968" s="216"/>
    </row>
    <row r="969" spans="1:26" ht="15.75" customHeight="1">
      <c r="A969" s="216"/>
      <c r="B969" s="216"/>
      <c r="C969" s="216"/>
      <c r="D969" s="216"/>
      <c r="E969" s="216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  <c r="W969" s="216"/>
      <c r="X969" s="216"/>
      <c r="Y969" s="216"/>
      <c r="Z969" s="216"/>
    </row>
    <row r="970" spans="1:26" ht="15.75" customHeight="1">
      <c r="A970" s="216"/>
      <c r="B970" s="216"/>
      <c r="C970" s="216"/>
      <c r="D970" s="216"/>
      <c r="E970" s="216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  <c r="W970" s="216"/>
      <c r="X970" s="216"/>
      <c r="Y970" s="216"/>
      <c r="Z970" s="216"/>
    </row>
    <row r="971" spans="1:26" ht="15.75" customHeight="1">
      <c r="A971" s="216"/>
      <c r="B971" s="216"/>
      <c r="C971" s="216"/>
      <c r="D971" s="216"/>
      <c r="E971" s="216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  <c r="W971" s="216"/>
      <c r="X971" s="216"/>
      <c r="Y971" s="216"/>
      <c r="Z971" s="216"/>
    </row>
    <row r="972" spans="1:26" ht="15.75" customHeight="1">
      <c r="A972" s="216"/>
      <c r="B972" s="216"/>
      <c r="C972" s="216"/>
      <c r="D972" s="216"/>
      <c r="E972" s="216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  <c r="W972" s="216"/>
      <c r="X972" s="216"/>
      <c r="Y972" s="216"/>
      <c r="Z972" s="216"/>
    </row>
    <row r="973" spans="1:26" ht="15.75" customHeight="1">
      <c r="A973" s="216"/>
      <c r="B973" s="216"/>
      <c r="C973" s="216"/>
      <c r="D973" s="216"/>
      <c r="E973" s="216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  <c r="W973" s="216"/>
      <c r="X973" s="216"/>
      <c r="Y973" s="216"/>
      <c r="Z973" s="216"/>
    </row>
    <row r="974" spans="1:26" ht="15.75" customHeight="1">
      <c r="A974" s="216"/>
      <c r="B974" s="216"/>
      <c r="C974" s="216"/>
      <c r="D974" s="216"/>
      <c r="E974" s="216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  <c r="W974" s="216"/>
      <c r="X974" s="216"/>
      <c r="Y974" s="216"/>
      <c r="Z974" s="216"/>
    </row>
    <row r="975" spans="1:26" ht="15.75" customHeight="1">
      <c r="A975" s="216"/>
      <c r="B975" s="216"/>
      <c r="C975" s="216"/>
      <c r="D975" s="216"/>
      <c r="E975" s="216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  <c r="W975" s="216"/>
      <c r="X975" s="216"/>
      <c r="Y975" s="216"/>
      <c r="Z975" s="216"/>
    </row>
    <row r="976" spans="1:26" ht="15.75" customHeight="1">
      <c r="A976" s="216"/>
      <c r="B976" s="216"/>
      <c r="C976" s="216"/>
      <c r="D976" s="216"/>
      <c r="E976" s="216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  <c r="W976" s="216"/>
      <c r="X976" s="216"/>
      <c r="Y976" s="216"/>
      <c r="Z976" s="216"/>
    </row>
    <row r="977" spans="1:26" ht="15.75" customHeight="1">
      <c r="A977" s="216"/>
      <c r="B977" s="216"/>
      <c r="C977" s="216"/>
      <c r="D977" s="216"/>
      <c r="E977" s="216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  <c r="W977" s="216"/>
      <c r="X977" s="216"/>
      <c r="Y977" s="216"/>
      <c r="Z977" s="216"/>
    </row>
    <row r="978" spans="1:26" ht="15.75" customHeight="1">
      <c r="A978" s="216"/>
      <c r="B978" s="216"/>
      <c r="C978" s="216"/>
      <c r="D978" s="216"/>
      <c r="E978" s="216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  <c r="W978" s="216"/>
      <c r="X978" s="216"/>
      <c r="Y978" s="216"/>
      <c r="Z978" s="216"/>
    </row>
    <row r="979" spans="1:26" ht="15.75" customHeight="1">
      <c r="A979" s="216"/>
      <c r="B979" s="216"/>
      <c r="C979" s="216"/>
      <c r="D979" s="216"/>
      <c r="E979" s="216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  <c r="W979" s="216"/>
      <c r="X979" s="216"/>
      <c r="Y979" s="216"/>
      <c r="Z979" s="216"/>
    </row>
    <row r="980" spans="1:26" ht="15.75" customHeight="1">
      <c r="A980" s="216"/>
      <c r="B980" s="216"/>
      <c r="C980" s="216"/>
      <c r="D980" s="216"/>
      <c r="E980" s="216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  <c r="W980" s="216"/>
      <c r="X980" s="216"/>
      <c r="Y980" s="216"/>
      <c r="Z980" s="216"/>
    </row>
    <row r="981" spans="1:26" ht="15.75" customHeight="1">
      <c r="A981" s="216"/>
      <c r="B981" s="216"/>
      <c r="C981" s="216"/>
      <c r="D981" s="216"/>
      <c r="E981" s="216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  <c r="W981" s="216"/>
      <c r="X981" s="216"/>
      <c r="Y981" s="216"/>
      <c r="Z981" s="216"/>
    </row>
    <row r="982" spans="1:26" ht="15.75" customHeight="1">
      <c r="A982" s="216"/>
      <c r="B982" s="216"/>
      <c r="C982" s="216"/>
      <c r="D982" s="216"/>
      <c r="E982" s="216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  <c r="W982" s="216"/>
      <c r="X982" s="216"/>
      <c r="Y982" s="216"/>
      <c r="Z982" s="216"/>
    </row>
    <row r="983" spans="1:26" ht="15.75" customHeight="1">
      <c r="A983" s="216"/>
      <c r="B983" s="216"/>
      <c r="C983" s="216"/>
      <c r="D983" s="216"/>
      <c r="E983" s="216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  <c r="W983" s="216"/>
      <c r="X983" s="216"/>
      <c r="Y983" s="216"/>
      <c r="Z983" s="216"/>
    </row>
    <row r="984" spans="1:26" ht="15.75" customHeight="1">
      <c r="A984" s="216"/>
      <c r="B984" s="216"/>
      <c r="C984" s="216"/>
      <c r="D984" s="216"/>
      <c r="E984" s="216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  <c r="W984" s="216"/>
      <c r="X984" s="216"/>
      <c r="Y984" s="216"/>
      <c r="Z984" s="216"/>
    </row>
    <row r="985" spans="1:26" ht="15.75" customHeight="1">
      <c r="A985" s="216"/>
      <c r="B985" s="216"/>
      <c r="C985" s="216"/>
      <c r="D985" s="216"/>
      <c r="E985" s="216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  <c r="W985" s="216"/>
      <c r="X985" s="216"/>
      <c r="Y985" s="216"/>
      <c r="Z985" s="216"/>
    </row>
    <row r="986" spans="1:26" ht="15.75" customHeight="1">
      <c r="A986" s="216"/>
      <c r="B986" s="216"/>
      <c r="C986" s="216"/>
      <c r="D986" s="216"/>
      <c r="E986" s="216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  <c r="W986" s="216"/>
      <c r="X986" s="216"/>
      <c r="Y986" s="216"/>
      <c r="Z986" s="216"/>
    </row>
    <row r="987" spans="1:26" ht="15.75" customHeight="1">
      <c r="A987" s="216"/>
      <c r="B987" s="216"/>
      <c r="C987" s="216"/>
      <c r="D987" s="216"/>
      <c r="E987" s="216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  <c r="W987" s="216"/>
      <c r="X987" s="216"/>
      <c r="Y987" s="216"/>
      <c r="Z987" s="216"/>
    </row>
    <row r="988" spans="1:26" ht="15.75" customHeight="1">
      <c r="A988" s="216"/>
      <c r="B988" s="216"/>
      <c r="C988" s="216"/>
      <c r="D988" s="216"/>
      <c r="E988" s="216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  <c r="W988" s="216"/>
      <c r="X988" s="216"/>
      <c r="Y988" s="216"/>
      <c r="Z988" s="216"/>
    </row>
    <row r="989" spans="1:26" ht="15.75" customHeight="1">
      <c r="A989" s="216"/>
      <c r="B989" s="216"/>
      <c r="C989" s="216"/>
      <c r="D989" s="216"/>
      <c r="E989" s="216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  <c r="W989" s="216"/>
      <c r="X989" s="216"/>
      <c r="Y989" s="216"/>
      <c r="Z989" s="216"/>
    </row>
    <row r="990" spans="1:26" ht="15.75" customHeight="1">
      <c r="A990" s="216"/>
      <c r="B990" s="216"/>
      <c r="C990" s="216"/>
      <c r="D990" s="216"/>
      <c r="E990" s="216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  <c r="W990" s="216"/>
      <c r="X990" s="216"/>
      <c r="Y990" s="216"/>
      <c r="Z990" s="216"/>
    </row>
    <row r="991" spans="1:26" ht="15.75" customHeight="1">
      <c r="A991" s="216"/>
      <c r="B991" s="216"/>
      <c r="C991" s="216"/>
      <c r="D991" s="216"/>
      <c r="E991" s="216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  <c r="W991" s="216"/>
      <c r="X991" s="216"/>
      <c r="Y991" s="216"/>
      <c r="Z991" s="216"/>
    </row>
    <row r="992" spans="1:26" ht="15.75" customHeight="1">
      <c r="A992" s="216"/>
      <c r="B992" s="216"/>
      <c r="C992" s="216"/>
      <c r="D992" s="216"/>
      <c r="E992" s="216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  <c r="W992" s="216"/>
      <c r="X992" s="216"/>
      <c r="Y992" s="216"/>
      <c r="Z992" s="216"/>
    </row>
    <row r="993" spans="1:26" ht="15.75" customHeight="1">
      <c r="A993" s="216"/>
      <c r="B993" s="216"/>
      <c r="C993" s="216"/>
      <c r="D993" s="216"/>
      <c r="E993" s="216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  <c r="W993" s="216"/>
      <c r="X993" s="216"/>
      <c r="Y993" s="216"/>
      <c r="Z993" s="216"/>
    </row>
    <row r="994" spans="1:26" ht="15.75" customHeight="1">
      <c r="A994" s="216"/>
      <c r="B994" s="216"/>
      <c r="C994" s="216"/>
      <c r="D994" s="216"/>
      <c r="E994" s="216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  <c r="W994" s="216"/>
      <c r="X994" s="216"/>
      <c r="Y994" s="216"/>
      <c r="Z994" s="216"/>
    </row>
    <row r="995" spans="1:26" ht="15.75" customHeight="1">
      <c r="A995" s="216"/>
      <c r="B995" s="216"/>
      <c r="C995" s="216"/>
      <c r="D995" s="216"/>
      <c r="E995" s="216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  <c r="W995" s="216"/>
      <c r="X995" s="216"/>
      <c r="Y995" s="216"/>
      <c r="Z995" s="216"/>
    </row>
    <row r="996" spans="1:26" ht="15.75" customHeight="1">
      <c r="A996" s="216"/>
      <c r="B996" s="216"/>
      <c r="C996" s="216"/>
      <c r="D996" s="216"/>
      <c r="E996" s="216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  <c r="W996" s="216"/>
      <c r="X996" s="216"/>
      <c r="Y996" s="216"/>
      <c r="Z996" s="216"/>
    </row>
    <row r="997" spans="1:26" ht="15.75" customHeight="1">
      <c r="A997" s="216"/>
      <c r="B997" s="216"/>
      <c r="C997" s="216"/>
      <c r="D997" s="216"/>
      <c r="E997" s="216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  <c r="W997" s="216"/>
      <c r="X997" s="216"/>
      <c r="Y997" s="216"/>
      <c r="Z997" s="216"/>
    </row>
    <row r="998" spans="1:26" ht="15.75" customHeight="1">
      <c r="A998" s="216"/>
      <c r="B998" s="216"/>
      <c r="C998" s="216"/>
      <c r="D998" s="216"/>
      <c r="E998" s="216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  <c r="W998" s="216"/>
      <c r="X998" s="216"/>
      <c r="Y998" s="216"/>
      <c r="Z998" s="216"/>
    </row>
    <row r="999" spans="1:26" ht="15.75" customHeight="1">
      <c r="A999" s="216"/>
      <c r="B999" s="216"/>
      <c r="C999" s="216"/>
      <c r="D999" s="216"/>
      <c r="E999" s="216"/>
      <c r="F999" s="216"/>
      <c r="G999" s="216"/>
      <c r="H999" s="216"/>
      <c r="I999" s="216"/>
      <c r="J999" s="216"/>
      <c r="K999" s="216"/>
      <c r="L999" s="216"/>
      <c r="M999" s="216"/>
      <c r="N999" s="216"/>
      <c r="O999" s="216"/>
      <c r="P999" s="216"/>
      <c r="Q999" s="216"/>
      <c r="R999" s="216"/>
      <c r="S999" s="216"/>
      <c r="T999" s="216"/>
      <c r="U999" s="216"/>
      <c r="V999" s="216"/>
      <c r="W999" s="216"/>
      <c r="X999" s="216"/>
      <c r="Y999" s="216"/>
      <c r="Z999" s="216"/>
    </row>
    <row r="1000" spans="1:26" ht="15.75" customHeight="1">
      <c r="A1000" s="216"/>
      <c r="B1000" s="216"/>
      <c r="C1000" s="216"/>
      <c r="D1000" s="216"/>
      <c r="E1000" s="216"/>
      <c r="F1000" s="216"/>
      <c r="G1000" s="216"/>
      <c r="H1000" s="216"/>
      <c r="I1000" s="216"/>
      <c r="J1000" s="216"/>
      <c r="K1000" s="216"/>
      <c r="L1000" s="216"/>
      <c r="M1000" s="216"/>
      <c r="N1000" s="216"/>
      <c r="O1000" s="216"/>
      <c r="P1000" s="216"/>
      <c r="Q1000" s="216"/>
      <c r="R1000" s="216"/>
      <c r="S1000" s="216"/>
      <c r="T1000" s="216"/>
      <c r="U1000" s="216"/>
      <c r="V1000" s="216"/>
      <c r="W1000" s="216"/>
      <c r="X1000" s="216"/>
      <c r="Y1000" s="216"/>
      <c r="Z1000" s="216"/>
    </row>
  </sheetData>
  <mergeCells count="7">
    <mergeCell ref="G22:H22"/>
    <mergeCell ref="G23:H23"/>
    <mergeCell ref="B5:E5"/>
    <mergeCell ref="G5:J5"/>
    <mergeCell ref="G13:J13"/>
    <mergeCell ref="G20:H20"/>
    <mergeCell ref="G21:H21"/>
  </mergeCells>
  <pageMargins left="0.7" right="0.7" top="0.75" bottom="0.75" header="0" footer="0"/>
  <pageSetup scale="7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7F2EC"/>
  </sheetPr>
  <dimension ref="A1:AA996"/>
  <sheetViews>
    <sheetView showGridLines="0" zoomScale="70" zoomScaleNormal="70" workbookViewId="0">
      <selection activeCell="O9" sqref="O9"/>
    </sheetView>
  </sheetViews>
  <sheetFormatPr defaultColWidth="14.44140625" defaultRowHeight="15" customHeight="1"/>
  <cols>
    <col min="1" max="1" width="2.77734375" style="173" customWidth="1"/>
    <col min="2" max="3" width="20.77734375" style="173" customWidth="1"/>
    <col min="4" max="4" width="19.21875" style="173" customWidth="1"/>
    <col min="5" max="12" width="16.44140625" style="173" customWidth="1"/>
    <col min="13" max="13" width="29.21875" style="173" bestFit="1" customWidth="1"/>
    <col min="14" max="14" width="3.21875" style="173" customWidth="1"/>
    <col min="15" max="15" width="22.44140625" style="173" bestFit="1" customWidth="1"/>
    <col min="16" max="16" width="3.21875" style="173" customWidth="1"/>
    <col min="17" max="19" width="16.44140625" style="173" customWidth="1"/>
    <col min="20" max="20" width="3.21875" style="173" customWidth="1"/>
    <col min="21" max="23" width="16.44140625" style="173" customWidth="1"/>
    <col min="24" max="24" width="3.21875" style="173" customWidth="1"/>
    <col min="25" max="27" width="16.44140625" style="173" customWidth="1"/>
    <col min="28" max="28" width="3.21875" style="173" customWidth="1"/>
    <col min="29" max="16384" width="14.44140625" style="173"/>
  </cols>
  <sheetData>
    <row r="1" spans="1:27" s="279" customFormat="1" ht="15.75" customHeight="1">
      <c r="A1" s="343"/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</row>
    <row r="2" spans="1:27" s="279" customFormat="1" ht="15.75" customHeight="1">
      <c r="A2" s="343"/>
      <c r="B2" s="345" t="s">
        <v>272</v>
      </c>
      <c r="C2" s="344"/>
      <c r="D2" s="344"/>
      <c r="E2" s="344"/>
      <c r="F2" s="346" t="s">
        <v>4</v>
      </c>
      <c r="G2" s="344"/>
      <c r="H2" s="344"/>
      <c r="I2" s="344"/>
      <c r="J2" s="344"/>
      <c r="K2" s="344"/>
      <c r="L2" s="344"/>
      <c r="M2" s="344"/>
      <c r="N2" s="344"/>
      <c r="O2" s="344"/>
    </row>
    <row r="3" spans="1:27" s="279" customFormat="1" ht="15.75" customHeight="1">
      <c r="A3" s="343"/>
      <c r="B3" s="347" t="s">
        <v>60</v>
      </c>
      <c r="C3" s="344"/>
      <c r="D3" s="344"/>
      <c r="E3" s="344"/>
      <c r="F3" s="348">
        <f ca="1">TODAY()</f>
        <v>45982</v>
      </c>
      <c r="G3" s="344"/>
      <c r="H3" s="344"/>
      <c r="I3" s="344"/>
      <c r="J3" s="344"/>
      <c r="K3" s="344"/>
      <c r="L3" s="344"/>
      <c r="M3" s="344"/>
      <c r="N3" s="344"/>
      <c r="O3" s="344"/>
    </row>
    <row r="4" spans="1:27" ht="15.75" customHeight="1">
      <c r="A4" s="349"/>
      <c r="B4" s="350"/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1"/>
      <c r="O4" s="351"/>
    </row>
    <row r="5" spans="1:27" ht="15.75" customHeight="1">
      <c r="A5" s="352"/>
      <c r="B5" s="595" t="s">
        <v>273</v>
      </c>
      <c r="C5" s="596"/>
      <c r="D5" s="596"/>
      <c r="E5" s="353"/>
      <c r="F5" s="353"/>
      <c r="G5" s="354"/>
      <c r="H5" s="597"/>
      <c r="I5" s="596"/>
      <c r="J5" s="353"/>
      <c r="K5" s="355"/>
      <c r="L5" s="355"/>
      <c r="M5" s="356"/>
      <c r="N5" s="350"/>
      <c r="O5" s="351"/>
    </row>
    <row r="6" spans="1:27" ht="45">
      <c r="A6" s="352"/>
      <c r="B6" s="357" t="s">
        <v>274</v>
      </c>
      <c r="C6" s="358" t="s">
        <v>275</v>
      </c>
      <c r="D6" s="358" t="s">
        <v>276</v>
      </c>
      <c r="E6" s="358" t="s">
        <v>277</v>
      </c>
      <c r="F6" s="358" t="s">
        <v>278</v>
      </c>
      <c r="G6" s="358" t="s">
        <v>279</v>
      </c>
      <c r="H6" s="358" t="s">
        <v>280</v>
      </c>
      <c r="I6" s="358" t="s">
        <v>281</v>
      </c>
      <c r="J6" s="358" t="s">
        <v>282</v>
      </c>
      <c r="K6" s="359" t="s">
        <v>283</v>
      </c>
      <c r="L6" s="359" t="s">
        <v>284</v>
      </c>
      <c r="M6" s="360" t="s">
        <v>285</v>
      </c>
      <c r="N6" s="350"/>
      <c r="O6" s="351"/>
    </row>
    <row r="7" spans="1:27" ht="30">
      <c r="A7" s="361"/>
      <c r="B7" s="362" t="s">
        <v>286</v>
      </c>
      <c r="C7" s="363">
        <v>28.47</v>
      </c>
      <c r="D7" s="364">
        <v>67</v>
      </c>
      <c r="E7" s="364">
        <v>1906.1</v>
      </c>
      <c r="F7" s="364">
        <v>4889.8999999999996</v>
      </c>
      <c r="G7" s="364">
        <v>8286.7999999999993</v>
      </c>
      <c r="H7" s="364">
        <v>5899.1</v>
      </c>
      <c r="I7" s="364">
        <v>656.7</v>
      </c>
      <c r="J7" s="364">
        <v>99</v>
      </c>
      <c r="K7" s="365">
        <f t="shared" ref="K7:K16" si="0">G7/H7</f>
        <v>1.4047566577952566</v>
      </c>
      <c r="L7" s="366">
        <f t="shared" ref="L7:L14" si="1">G7/J7</f>
        <v>83.705050505050494</v>
      </c>
      <c r="M7" s="367" t="s">
        <v>287</v>
      </c>
      <c r="N7" s="368"/>
      <c r="O7" s="368"/>
    </row>
    <row r="8" spans="1:27" ht="30">
      <c r="A8" s="361"/>
      <c r="B8" s="362" t="s">
        <v>288</v>
      </c>
      <c r="C8" s="369">
        <v>18.57</v>
      </c>
      <c r="D8" s="370">
        <v>232</v>
      </c>
      <c r="E8" s="370">
        <v>4309</v>
      </c>
      <c r="F8" s="370">
        <v>14021.7</v>
      </c>
      <c r="G8" s="370">
        <v>19991.400000000001</v>
      </c>
      <c r="H8" s="370">
        <v>2316.6999999999998</v>
      </c>
      <c r="I8" s="370">
        <v>345.9</v>
      </c>
      <c r="J8" s="370">
        <v>-357.6</v>
      </c>
      <c r="K8" s="371">
        <f t="shared" si="0"/>
        <v>8.6292571329908938</v>
      </c>
      <c r="L8" s="372">
        <f t="shared" si="1"/>
        <v>-55.904362416107382</v>
      </c>
      <c r="M8" s="373">
        <v>30.47</v>
      </c>
      <c r="N8" s="368"/>
      <c r="O8" s="368"/>
    </row>
    <row r="9" spans="1:27" ht="30">
      <c r="A9" s="361"/>
      <c r="B9" s="362" t="s">
        <v>289</v>
      </c>
      <c r="C9" s="369">
        <v>30.58</v>
      </c>
      <c r="D9" s="370">
        <v>51.7</v>
      </c>
      <c r="E9" s="370">
        <v>1579.5</v>
      </c>
      <c r="F9" s="370">
        <v>2561.4</v>
      </c>
      <c r="G9" s="370">
        <v>5965.7</v>
      </c>
      <c r="H9" s="370">
        <v>9657.6</v>
      </c>
      <c r="I9" s="370">
        <v>106.9</v>
      </c>
      <c r="J9" s="370">
        <v>-936.1</v>
      </c>
      <c r="K9" s="371">
        <f t="shared" si="0"/>
        <v>0.61772075878064936</v>
      </c>
      <c r="L9" s="372">
        <f t="shared" si="1"/>
        <v>-6.3729302424954595</v>
      </c>
      <c r="M9" s="373" t="s">
        <v>290</v>
      </c>
      <c r="N9" s="368"/>
      <c r="O9" s="368"/>
    </row>
    <row r="10" spans="1:27" ht="45">
      <c r="A10" s="361"/>
      <c r="B10" s="362" t="s">
        <v>291</v>
      </c>
      <c r="C10" s="369">
        <v>1.95</v>
      </c>
      <c r="D10" s="370">
        <v>3267.3</v>
      </c>
      <c r="E10" s="370">
        <v>6376.1</v>
      </c>
      <c r="F10" s="370">
        <v>3138</v>
      </c>
      <c r="G10" s="370">
        <v>9529.7999999999993</v>
      </c>
      <c r="H10" s="370">
        <v>7398.1</v>
      </c>
      <c r="I10" s="370">
        <v>422</v>
      </c>
      <c r="J10" s="370">
        <v>-644.5</v>
      </c>
      <c r="K10" s="371">
        <f t="shared" si="0"/>
        <v>1.2881415498573956</v>
      </c>
      <c r="L10" s="372">
        <f t="shared" si="1"/>
        <v>-14.786346004654771</v>
      </c>
      <c r="M10" s="373" t="s">
        <v>292</v>
      </c>
      <c r="N10" s="368"/>
      <c r="O10" s="368"/>
    </row>
    <row r="11" spans="1:27" ht="45">
      <c r="A11" s="361"/>
      <c r="B11" s="362" t="s">
        <v>293</v>
      </c>
      <c r="C11" s="369">
        <v>2.98</v>
      </c>
      <c r="D11" s="370">
        <v>7557.9</v>
      </c>
      <c r="E11" s="370">
        <v>22490.2</v>
      </c>
      <c r="F11" s="370">
        <v>-2707.8</v>
      </c>
      <c r="G11" s="370">
        <v>19847.7</v>
      </c>
      <c r="H11" s="370">
        <v>10538.7</v>
      </c>
      <c r="I11" s="370">
        <v>-366.9</v>
      </c>
      <c r="J11" s="370">
        <v>-1409.7</v>
      </c>
      <c r="K11" s="371">
        <f t="shared" si="0"/>
        <v>1.8833157789860229</v>
      </c>
      <c r="L11" s="372">
        <f t="shared" si="1"/>
        <v>-14.079378591189615</v>
      </c>
      <c r="M11" s="374" t="s">
        <v>287</v>
      </c>
      <c r="N11" s="368"/>
      <c r="O11" s="368"/>
    </row>
    <row r="12" spans="1:27" ht="30">
      <c r="A12" s="361"/>
      <c r="B12" s="362" t="s">
        <v>294</v>
      </c>
      <c r="C12" s="369">
        <v>2.92</v>
      </c>
      <c r="D12" s="370">
        <v>2160.6999999999998</v>
      </c>
      <c r="E12" s="370">
        <v>6301.9</v>
      </c>
      <c r="F12" s="370">
        <v>3919.3</v>
      </c>
      <c r="G12" s="370">
        <v>10970.4</v>
      </c>
      <c r="H12" s="370">
        <v>9441.4</v>
      </c>
      <c r="I12" s="370">
        <v>24.8</v>
      </c>
      <c r="J12" s="370">
        <v>-993.7</v>
      </c>
      <c r="K12" s="371">
        <f t="shared" si="0"/>
        <v>1.1619463215201136</v>
      </c>
      <c r="L12" s="372">
        <f t="shared" si="1"/>
        <v>-11.039951695682801</v>
      </c>
      <c r="M12" s="374" t="s">
        <v>287</v>
      </c>
      <c r="N12" s="368"/>
      <c r="O12" s="368"/>
    </row>
    <row r="13" spans="1:27" ht="30">
      <c r="A13" s="361"/>
      <c r="B13" s="362" t="s">
        <v>295</v>
      </c>
      <c r="C13" s="369">
        <v>27.53</v>
      </c>
      <c r="D13" s="370">
        <v>130.9</v>
      </c>
      <c r="E13" s="370">
        <v>3602.6</v>
      </c>
      <c r="F13" s="370">
        <v>-244.3</v>
      </c>
      <c r="G13" s="370">
        <v>3358.3</v>
      </c>
      <c r="H13" s="370">
        <v>1512.4</v>
      </c>
      <c r="I13" s="370">
        <v>281.39999999999998</v>
      </c>
      <c r="J13" s="370">
        <v>207.1</v>
      </c>
      <c r="K13" s="371">
        <f t="shared" si="0"/>
        <v>2.2205104469717005</v>
      </c>
      <c r="L13" s="372">
        <f t="shared" si="1"/>
        <v>16.215837759536456</v>
      </c>
      <c r="M13" s="373" t="s">
        <v>296</v>
      </c>
      <c r="N13" s="368"/>
      <c r="O13" s="368"/>
    </row>
    <row r="14" spans="1:27" ht="45">
      <c r="A14" s="361"/>
      <c r="B14" s="362" t="s">
        <v>297</v>
      </c>
      <c r="C14" s="369">
        <v>63.16</v>
      </c>
      <c r="D14" s="370">
        <v>148.69999999999999</v>
      </c>
      <c r="E14" s="370">
        <v>9390.6</v>
      </c>
      <c r="F14" s="370">
        <v>-185.3</v>
      </c>
      <c r="G14" s="370">
        <v>9205.2999999999993</v>
      </c>
      <c r="H14" s="370">
        <v>4086.9</v>
      </c>
      <c r="I14" s="370">
        <v>974.7</v>
      </c>
      <c r="J14" s="370">
        <v>511.7</v>
      </c>
      <c r="K14" s="371">
        <f t="shared" si="0"/>
        <v>2.2523917883970732</v>
      </c>
      <c r="L14" s="372">
        <f t="shared" si="1"/>
        <v>17.989642368575335</v>
      </c>
      <c r="M14" s="373" t="s">
        <v>298</v>
      </c>
      <c r="N14" s="368"/>
      <c r="O14" s="368"/>
    </row>
    <row r="15" spans="1:27" ht="60">
      <c r="A15" s="361"/>
      <c r="B15" s="362" t="s">
        <v>299</v>
      </c>
      <c r="C15" s="369">
        <v>1.89</v>
      </c>
      <c r="D15" s="370">
        <v>4867.6000000000004</v>
      </c>
      <c r="E15" s="370">
        <v>9197.6</v>
      </c>
      <c r="F15" s="370">
        <v>603.9</v>
      </c>
      <c r="G15" s="370">
        <v>9811.9</v>
      </c>
      <c r="H15" s="370">
        <v>2542.1</v>
      </c>
      <c r="I15" s="370">
        <v>538.1</v>
      </c>
      <c r="J15" s="370">
        <v>-0.3</v>
      </c>
      <c r="K15" s="371">
        <f t="shared" si="0"/>
        <v>3.8597616144132805</v>
      </c>
      <c r="L15" s="372" t="s">
        <v>102</v>
      </c>
      <c r="M15" s="373" t="s">
        <v>300</v>
      </c>
      <c r="N15" s="368"/>
      <c r="O15" s="368"/>
    </row>
    <row r="16" spans="1:27" ht="45">
      <c r="A16" s="361"/>
      <c r="B16" s="375" t="s">
        <v>301</v>
      </c>
      <c r="C16" s="376">
        <v>46.02</v>
      </c>
      <c r="D16" s="377">
        <v>402.4</v>
      </c>
      <c r="E16" s="377">
        <v>18517.5</v>
      </c>
      <c r="F16" s="377">
        <v>760.3</v>
      </c>
      <c r="G16" s="377">
        <v>19298.5</v>
      </c>
      <c r="H16" s="377">
        <v>6187.8</v>
      </c>
      <c r="I16" s="377">
        <v>1859</v>
      </c>
      <c r="J16" s="377">
        <v>1221.3</v>
      </c>
      <c r="K16" s="378">
        <f t="shared" si="0"/>
        <v>3.1187982804874106</v>
      </c>
      <c r="L16" s="379">
        <f>G16/J16</f>
        <v>15.801604847293868</v>
      </c>
      <c r="M16" s="380" t="s">
        <v>302</v>
      </c>
      <c r="N16" s="368"/>
      <c r="O16" s="368" t="s">
        <v>303</v>
      </c>
    </row>
    <row r="17" spans="1:27" ht="15.75" customHeight="1" thickBot="1">
      <c r="A17" s="361"/>
      <c r="B17" s="368"/>
      <c r="C17" s="350"/>
      <c r="D17" s="350"/>
      <c r="E17" s="381"/>
      <c r="F17" s="382"/>
      <c r="G17" s="383"/>
      <c r="H17" s="383"/>
      <c r="I17" s="383"/>
      <c r="J17" s="383"/>
      <c r="K17" s="384"/>
      <c r="L17" s="384"/>
      <c r="M17" s="384"/>
      <c r="N17" s="351"/>
      <c r="O17" s="351"/>
    </row>
    <row r="18" spans="1:27" ht="15.75" customHeight="1" thickBot="1">
      <c r="A18" s="361"/>
      <c r="B18" s="385" t="s">
        <v>304</v>
      </c>
      <c r="C18" s="386">
        <v>253.54</v>
      </c>
      <c r="D18" s="387">
        <v>107.3</v>
      </c>
      <c r="E18" s="387">
        <v>27206.9</v>
      </c>
      <c r="F18" s="387">
        <v>-1148</v>
      </c>
      <c r="G18" s="387">
        <v>26058.9</v>
      </c>
      <c r="H18" s="387">
        <v>5050.6000000000004</v>
      </c>
      <c r="I18" s="387">
        <v>2018.7</v>
      </c>
      <c r="J18" s="387">
        <v>1505.7</v>
      </c>
      <c r="K18" s="388">
        <f>G18/H18</f>
        <v>5.1595652001742369</v>
      </c>
      <c r="L18" s="389">
        <f>G18/J18</f>
        <v>17.306834030683405</v>
      </c>
      <c r="M18" s="390">
        <v>11.56</v>
      </c>
      <c r="N18" s="351"/>
      <c r="O18" s="351"/>
    </row>
    <row r="19" spans="1:27" ht="15.75" customHeight="1">
      <c r="A19" s="349"/>
      <c r="B19" s="351"/>
      <c r="C19" s="351"/>
      <c r="D19" s="351"/>
      <c r="E19" s="351"/>
      <c r="F19" s="391"/>
      <c r="G19" s="351"/>
      <c r="H19" s="351"/>
      <c r="I19" s="351"/>
      <c r="J19" s="351"/>
      <c r="K19" s="351"/>
      <c r="L19" s="351"/>
      <c r="M19" s="350"/>
      <c r="N19" s="351"/>
      <c r="O19" s="351"/>
    </row>
    <row r="20" spans="1:27" ht="15.75" customHeight="1">
      <c r="A20" s="349"/>
      <c r="B20" s="392" t="s">
        <v>305</v>
      </c>
      <c r="C20" s="393">
        <f>MIN(C7:C18)</f>
        <v>1.89</v>
      </c>
      <c r="D20" s="393">
        <f>MIN(D7:D18)</f>
        <v>51.7</v>
      </c>
      <c r="E20" s="393">
        <f t="shared" ref="E20:M20" si="2">MIN(E7:E18)</f>
        <v>1579.5</v>
      </c>
      <c r="F20" s="394">
        <f t="shared" si="2"/>
        <v>-2707.8</v>
      </c>
      <c r="G20" s="394">
        <f t="shared" si="2"/>
        <v>3358.3</v>
      </c>
      <c r="H20" s="394">
        <f t="shared" si="2"/>
        <v>1512.4</v>
      </c>
      <c r="I20" s="394">
        <f t="shared" si="2"/>
        <v>-366.9</v>
      </c>
      <c r="J20" s="394">
        <f t="shared" si="2"/>
        <v>-1409.7</v>
      </c>
      <c r="K20" s="395">
        <f t="shared" si="2"/>
        <v>0.61772075878064936</v>
      </c>
      <c r="L20" s="395">
        <f t="shared" si="2"/>
        <v>-55.904362416107382</v>
      </c>
      <c r="M20" s="396">
        <f t="shared" si="2"/>
        <v>11.56</v>
      </c>
      <c r="N20" s="368"/>
      <c r="O20" s="368"/>
    </row>
    <row r="21" spans="1:27" ht="15.75" customHeight="1">
      <c r="A21" s="349"/>
      <c r="B21" s="397" t="s">
        <v>306</v>
      </c>
      <c r="C21" s="398">
        <f>_xlfn.PERCENTILE.INC(C7:C18,0.25)</f>
        <v>2.95</v>
      </c>
      <c r="D21" s="398">
        <f>_xlfn.PERCENTILE.INC(D7:D18,0.25)</f>
        <v>119.1</v>
      </c>
      <c r="E21" s="399">
        <f t="shared" ref="E21:L21" si="3">_xlfn.PERCENTILE.INC(E7:E18,0.25)</f>
        <v>3955.8</v>
      </c>
      <c r="F21" s="383">
        <f t="shared" si="3"/>
        <v>-214.8</v>
      </c>
      <c r="G21" s="383">
        <f t="shared" si="3"/>
        <v>8746.0499999999993</v>
      </c>
      <c r="H21" s="383">
        <f t="shared" si="3"/>
        <v>3314.5</v>
      </c>
      <c r="I21" s="383">
        <f t="shared" si="3"/>
        <v>194.14999999999998</v>
      </c>
      <c r="J21" s="383">
        <f t="shared" si="3"/>
        <v>-790.3</v>
      </c>
      <c r="K21" s="384">
        <f t="shared" si="3"/>
        <v>1.346449103826326</v>
      </c>
      <c r="L21" s="384">
        <f t="shared" si="3"/>
        <v>-13.319521867312911</v>
      </c>
      <c r="M21" s="400">
        <f>_xlfn.PERCENTILE.INC(M7:M18,0.25)</f>
        <v>16.287500000000001</v>
      </c>
      <c r="N21" s="368"/>
      <c r="O21" s="368"/>
    </row>
    <row r="22" spans="1:27" ht="15.75" customHeight="1">
      <c r="A22" s="349"/>
      <c r="B22" s="397" t="s">
        <v>307</v>
      </c>
      <c r="C22" s="398">
        <f>AVERAGE(C7:C18)</f>
        <v>43.419090909090912</v>
      </c>
      <c r="D22" s="398">
        <f>AVERAGE(D7:D18)</f>
        <v>1726.6818181818182</v>
      </c>
      <c r="E22" s="399">
        <f t="shared" ref="E22:M22" si="4">AVERAGE(E7:E18)</f>
        <v>10079.818181818182</v>
      </c>
      <c r="F22" s="383">
        <f t="shared" si="4"/>
        <v>2328.1000000000004</v>
      </c>
      <c r="G22" s="383">
        <f t="shared" si="4"/>
        <v>12938.609090909089</v>
      </c>
      <c r="H22" s="383">
        <f t="shared" si="4"/>
        <v>5875.5818181818186</v>
      </c>
      <c r="I22" s="383">
        <f t="shared" si="4"/>
        <v>623.75454545454545</v>
      </c>
      <c r="J22" s="383">
        <f t="shared" si="4"/>
        <v>-72.463636363636454</v>
      </c>
      <c r="K22" s="384">
        <f t="shared" si="4"/>
        <v>2.8723786845794579</v>
      </c>
      <c r="L22" s="384">
        <f t="shared" si="4"/>
        <v>4.8836000561009527</v>
      </c>
      <c r="M22" s="400">
        <f t="shared" si="4"/>
        <v>21.015000000000001</v>
      </c>
      <c r="N22" s="368"/>
      <c r="O22" s="368"/>
    </row>
    <row r="23" spans="1:27" ht="15.75" customHeight="1">
      <c r="A23" s="349"/>
      <c r="B23" s="397" t="s">
        <v>308</v>
      </c>
      <c r="C23" s="398">
        <f>MEDIAN(C7:C18)</f>
        <v>27.53</v>
      </c>
      <c r="D23" s="398">
        <f>MEDIAN(D7:D18)</f>
        <v>232</v>
      </c>
      <c r="E23" s="399">
        <f t="shared" ref="E23:M23" si="5">MEDIAN(E7:E18)</f>
        <v>6376.1</v>
      </c>
      <c r="F23" s="383">
        <f t="shared" si="5"/>
        <v>760.3</v>
      </c>
      <c r="G23" s="383">
        <f t="shared" si="5"/>
        <v>9811.9</v>
      </c>
      <c r="H23" s="383">
        <f t="shared" si="5"/>
        <v>5899.1</v>
      </c>
      <c r="I23" s="383">
        <f t="shared" si="5"/>
        <v>422</v>
      </c>
      <c r="J23" s="383">
        <f t="shared" si="5"/>
        <v>-0.3</v>
      </c>
      <c r="K23" s="384">
        <f t="shared" si="5"/>
        <v>2.2205104469717005</v>
      </c>
      <c r="L23" s="384">
        <f t="shared" si="5"/>
        <v>4.7143373023992039</v>
      </c>
      <c r="M23" s="400">
        <f t="shared" si="5"/>
        <v>21.015000000000001</v>
      </c>
      <c r="N23" s="368"/>
      <c r="O23" s="368"/>
    </row>
    <row r="24" spans="1:27" ht="15.75" customHeight="1">
      <c r="A24" s="349"/>
      <c r="B24" s="397" t="s">
        <v>309</v>
      </c>
      <c r="C24" s="398">
        <f>_xlfn.PERCENTILE.INC(C7:C18,0.75)</f>
        <v>38.299999999999997</v>
      </c>
      <c r="D24" s="398">
        <f>_xlfn.PERCENTILE.INC(D7:D18,0.75)</f>
        <v>2714</v>
      </c>
      <c r="E24" s="399">
        <f t="shared" ref="E24:M24" si="6">_xlfn.PERCENTILE.INC(E7:E18,0.75)</f>
        <v>13954.05</v>
      </c>
      <c r="F24" s="383">
        <f t="shared" si="6"/>
        <v>3528.65</v>
      </c>
      <c r="G24" s="383">
        <f t="shared" si="6"/>
        <v>19573.099999999999</v>
      </c>
      <c r="H24" s="383">
        <f t="shared" si="6"/>
        <v>8419.75</v>
      </c>
      <c r="I24" s="383">
        <f t="shared" si="6"/>
        <v>815.7</v>
      </c>
      <c r="J24" s="383">
        <f t="shared" si="6"/>
        <v>359.4</v>
      </c>
      <c r="K24" s="384">
        <f t="shared" si="6"/>
        <v>3.4892799474503455</v>
      </c>
      <c r="L24" s="384">
        <f t="shared" si="6"/>
        <v>17.034084962896667</v>
      </c>
      <c r="M24" s="400">
        <f t="shared" si="6"/>
        <v>25.7425</v>
      </c>
      <c r="N24" s="368"/>
      <c r="O24" s="368"/>
    </row>
    <row r="25" spans="1:27" ht="15.75" customHeight="1">
      <c r="A25" s="349"/>
      <c r="B25" s="401" t="s">
        <v>310</v>
      </c>
      <c r="C25" s="402">
        <f>MAX(C7:C18)</f>
        <v>253.54</v>
      </c>
      <c r="D25" s="402">
        <f>MAX(D7:D18)</f>
        <v>7557.9</v>
      </c>
      <c r="E25" s="402">
        <f t="shared" ref="E25:M25" si="7">MAX(E7:E18)</f>
        <v>27206.9</v>
      </c>
      <c r="F25" s="403">
        <f t="shared" si="7"/>
        <v>14021.7</v>
      </c>
      <c r="G25" s="403">
        <f t="shared" si="7"/>
        <v>26058.9</v>
      </c>
      <c r="H25" s="403">
        <f t="shared" si="7"/>
        <v>10538.7</v>
      </c>
      <c r="I25" s="403">
        <f t="shared" si="7"/>
        <v>2018.7</v>
      </c>
      <c r="J25" s="403">
        <f t="shared" si="7"/>
        <v>1505.7</v>
      </c>
      <c r="K25" s="404">
        <f t="shared" si="7"/>
        <v>8.6292571329908938</v>
      </c>
      <c r="L25" s="404">
        <f t="shared" si="7"/>
        <v>83.705050505050494</v>
      </c>
      <c r="M25" s="405">
        <f t="shared" si="7"/>
        <v>30.47</v>
      </c>
      <c r="N25" s="368"/>
      <c r="O25" s="368">
        <f>13.03*M25</f>
        <v>397.02409999999998</v>
      </c>
    </row>
    <row r="26" spans="1:27" ht="15.75" customHeight="1">
      <c r="A26" s="349"/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351"/>
      <c r="M26" s="350"/>
      <c r="N26" s="351"/>
      <c r="O26" s="351"/>
    </row>
    <row r="27" spans="1:27" ht="15.75" customHeight="1">
      <c r="A27" s="349"/>
      <c r="B27" s="368"/>
      <c r="C27" s="368"/>
      <c r="D27" s="368"/>
      <c r="E27" s="368"/>
      <c r="F27" s="368"/>
      <c r="G27" s="368"/>
      <c r="H27" s="383"/>
      <c r="I27" s="383"/>
      <c r="J27" s="383"/>
      <c r="K27" s="383"/>
      <c r="L27" s="406"/>
      <c r="M27" s="406"/>
      <c r="N27" s="351"/>
      <c r="O27" s="351"/>
    </row>
    <row r="28" spans="1:27" ht="15.75" customHeight="1">
      <c r="A28" s="349"/>
      <c r="B28" s="351"/>
      <c r="C28" s="351"/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</row>
    <row r="29" spans="1:27" ht="15.75" customHeight="1">
      <c r="A29" s="349"/>
      <c r="B29" s="351"/>
      <c r="C29" s="351"/>
      <c r="D29" s="351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</row>
    <row r="30" spans="1:27" ht="15.75" customHeight="1">
      <c r="A30" s="349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68"/>
      <c r="O30" s="368"/>
    </row>
    <row r="31" spans="1:27" ht="15.75" customHeight="1">
      <c r="A31" s="349"/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68"/>
      <c r="O31" s="368"/>
      <c r="P31" s="368"/>
      <c r="Q31" s="368"/>
      <c r="R31" s="368"/>
      <c r="S31" s="368"/>
      <c r="T31" s="368"/>
      <c r="U31" s="368"/>
      <c r="V31" s="368"/>
      <c r="W31" s="368"/>
      <c r="X31" s="368"/>
      <c r="Y31" s="368"/>
      <c r="Z31" s="368"/>
      <c r="AA31" s="368"/>
    </row>
    <row r="32" spans="1:27" ht="15.75" customHeight="1">
      <c r="A32" s="349"/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1"/>
      <c r="M32" s="351"/>
      <c r="N32" s="368"/>
      <c r="O32" s="368"/>
      <c r="P32" s="368"/>
      <c r="Q32" s="368"/>
      <c r="R32" s="368"/>
      <c r="S32" s="368"/>
      <c r="T32" s="368"/>
      <c r="U32" s="368"/>
      <c r="V32" s="368"/>
      <c r="W32" s="368"/>
      <c r="X32" s="368"/>
      <c r="Y32" s="368"/>
      <c r="Z32" s="368"/>
      <c r="AA32" s="368"/>
    </row>
    <row r="33" spans="1:27" ht="15.75" customHeight="1">
      <c r="A33" s="349"/>
      <c r="B33" s="351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  <c r="AA33" s="368"/>
    </row>
    <row r="34" spans="1:27" ht="15.75" customHeight="1">
      <c r="A34" s="349"/>
      <c r="B34" s="351"/>
      <c r="C34" s="351"/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  <c r="AA34" s="368"/>
    </row>
    <row r="35" spans="1:27" ht="15.75" customHeight="1">
      <c r="A35" s="349"/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68"/>
      <c r="O35" s="368"/>
      <c r="P35" s="368"/>
      <c r="Q35" s="368"/>
      <c r="R35" s="368"/>
      <c r="S35" s="351"/>
      <c r="T35" s="368"/>
      <c r="U35" s="368"/>
      <c r="V35" s="368"/>
      <c r="W35" s="368"/>
      <c r="X35" s="368"/>
      <c r="Y35" s="368"/>
      <c r="Z35" s="368"/>
      <c r="AA35" s="368"/>
    </row>
    <row r="36" spans="1:27" ht="15.75" customHeight="1">
      <c r="A36" s="349"/>
      <c r="B36" s="351"/>
      <c r="C36" s="351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</row>
    <row r="37" spans="1:27" ht="15.75" customHeight="1">
      <c r="A37" s="349"/>
      <c r="B37" s="351"/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</row>
    <row r="38" spans="1:27" ht="15.75" customHeight="1">
      <c r="A38" s="349"/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351"/>
    </row>
    <row r="39" spans="1:27" ht="15.75" customHeight="1">
      <c r="A39" s="349"/>
      <c r="B39" s="351"/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</row>
    <row r="40" spans="1:27" ht="15.75" customHeight="1">
      <c r="A40" s="349"/>
      <c r="B40" s="351"/>
      <c r="C40" s="351"/>
      <c r="D40" s="351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  <c r="AA40" s="351"/>
    </row>
    <row r="41" spans="1:27" ht="15.75" customHeight="1">
      <c r="A41" s="349"/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51"/>
    </row>
    <row r="42" spans="1:27" ht="15.75" customHeight="1">
      <c r="A42" s="349"/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51"/>
    </row>
    <row r="43" spans="1:27" ht="15.75" customHeight="1">
      <c r="A43" s="349"/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  <c r="AA43" s="351"/>
    </row>
    <row r="44" spans="1:27" ht="15.75" customHeight="1">
      <c r="A44" s="349"/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351"/>
    </row>
    <row r="45" spans="1:27" ht="15.75" customHeight="1">
      <c r="A45" s="349"/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351"/>
    </row>
    <row r="46" spans="1:27" ht="15.75" customHeight="1">
      <c r="A46" s="349"/>
      <c r="B46" s="351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  <c r="AA46" s="351"/>
    </row>
    <row r="47" spans="1:27" ht="15.75" customHeight="1">
      <c r="A47" s="349"/>
      <c r="B47" s="351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  <c r="AA47" s="351"/>
    </row>
    <row r="48" spans="1:27" ht="15.75" customHeight="1">
      <c r="A48" s="349"/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  <c r="AA48" s="351"/>
    </row>
    <row r="49" spans="1:27" ht="15.75" customHeight="1">
      <c r="A49" s="349"/>
      <c r="B49" s="351"/>
      <c r="C49" s="351"/>
      <c r="D49" s="351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  <c r="AA49" s="351"/>
    </row>
    <row r="50" spans="1:27" ht="15.75" customHeight="1">
      <c r="A50" s="349"/>
      <c r="B50" s="351"/>
      <c r="C50" s="351"/>
      <c r="D50" s="351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  <c r="AA50" s="351"/>
    </row>
    <row r="51" spans="1:27" ht="15.75" customHeight="1">
      <c r="A51" s="349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351"/>
    </row>
    <row r="52" spans="1:27" ht="15.75" customHeight="1">
      <c r="A52" s="349"/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  <c r="AA52" s="351"/>
    </row>
    <row r="53" spans="1:27" ht="15.75" customHeight="1">
      <c r="A53" s="349"/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51"/>
    </row>
    <row r="54" spans="1:27" ht="15.75" customHeight="1">
      <c r="A54" s="349"/>
      <c r="B54" s="351"/>
      <c r="C54" s="351"/>
      <c r="D54" s="351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51"/>
    </row>
    <row r="55" spans="1:27" ht="15.75" customHeight="1">
      <c r="A55" s="349"/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  <c r="AA55" s="351"/>
    </row>
    <row r="56" spans="1:27" ht="15.75" customHeight="1">
      <c r="A56" s="349"/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  <c r="AA56" s="351"/>
    </row>
    <row r="57" spans="1:27" ht="15.75" customHeight="1">
      <c r="A57" s="349"/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  <c r="AA57" s="351"/>
    </row>
    <row r="58" spans="1:27" ht="15.75" customHeight="1">
      <c r="A58" s="349"/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</row>
    <row r="59" spans="1:27" ht="15.75" customHeight="1">
      <c r="A59" s="349"/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351"/>
    </row>
    <row r="60" spans="1:27" ht="15.75" customHeight="1">
      <c r="A60" s="349"/>
      <c r="B60" s="351"/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  <c r="AA60" s="351"/>
    </row>
    <row r="61" spans="1:27" ht="15.75" customHeight="1">
      <c r="A61" s="349"/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  <c r="AA61" s="351"/>
    </row>
    <row r="62" spans="1:27" ht="15.75" customHeight="1">
      <c r="A62" s="349"/>
      <c r="B62" s="351"/>
      <c r="C62" s="351"/>
      <c r="D62" s="351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  <c r="AA62" s="351"/>
    </row>
    <row r="63" spans="1:27" ht="15.75" customHeight="1">
      <c r="A63" s="349"/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</row>
    <row r="64" spans="1:27" ht="15.75" customHeight="1">
      <c r="A64" s="349"/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  <c r="AA64" s="351"/>
    </row>
    <row r="65" spans="1:27" ht="15.75" customHeight="1">
      <c r="A65" s="349"/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  <c r="AA65" s="351"/>
    </row>
    <row r="66" spans="1:27" ht="15.75" customHeight="1">
      <c r="A66" s="349"/>
      <c r="B66" s="351"/>
      <c r="C66" s="351"/>
      <c r="D66" s="351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  <c r="AA66" s="351"/>
    </row>
    <row r="67" spans="1:27" ht="15.75" customHeight="1">
      <c r="A67" s="349"/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  <c r="AA67" s="351"/>
    </row>
    <row r="68" spans="1:27" ht="15.75" customHeight="1">
      <c r="A68" s="349"/>
      <c r="B68" s="351"/>
      <c r="C68" s="351"/>
      <c r="D68" s="351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  <c r="AA68" s="351"/>
    </row>
    <row r="69" spans="1:27" ht="15.75" customHeight="1">
      <c r="A69" s="349"/>
      <c r="B69" s="351"/>
      <c r="C69" s="351"/>
      <c r="D69" s="351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</row>
    <row r="70" spans="1:27" ht="15.75" customHeight="1">
      <c r="A70" s="349"/>
      <c r="B70" s="351"/>
      <c r="C70" s="351"/>
      <c r="D70" s="351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</row>
    <row r="71" spans="1:27" ht="15.75" customHeight="1">
      <c r="A71" s="349"/>
      <c r="B71" s="351"/>
      <c r="C71" s="351"/>
      <c r="D71" s="351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</row>
    <row r="72" spans="1:27" ht="15.75" customHeight="1">
      <c r="A72" s="349"/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</row>
    <row r="73" spans="1:27" ht="15.75" customHeight="1">
      <c r="A73" s="349"/>
      <c r="B73" s="351"/>
      <c r="C73" s="351"/>
      <c r="D73" s="351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</row>
    <row r="74" spans="1:27" ht="15.75" customHeight="1">
      <c r="A74" s="349"/>
      <c r="B74" s="351"/>
      <c r="C74" s="351"/>
      <c r="D74" s="351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</row>
    <row r="75" spans="1:27" ht="15.75" customHeight="1">
      <c r="A75" s="349"/>
      <c r="B75" s="351"/>
      <c r="C75" s="351"/>
      <c r="D75" s="351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</row>
    <row r="76" spans="1:27" ht="15.75" customHeight="1">
      <c r="A76" s="349"/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</row>
    <row r="77" spans="1:27" ht="15.75" customHeight="1">
      <c r="A77" s="349"/>
      <c r="B77" s="351"/>
      <c r="C77" s="351"/>
      <c r="D77" s="351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</row>
    <row r="78" spans="1:27" ht="15.75" customHeight="1">
      <c r="A78" s="349"/>
      <c r="B78" s="351"/>
      <c r="C78" s="351"/>
      <c r="D78" s="351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</row>
    <row r="79" spans="1:27" ht="15.75" customHeight="1">
      <c r="A79" s="349"/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</row>
    <row r="80" spans="1:27" ht="15.75" customHeight="1">
      <c r="A80" s="349"/>
      <c r="B80" s="351"/>
      <c r="C80" s="351"/>
      <c r="D80" s="351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</row>
    <row r="81" spans="1:27" ht="15.75" customHeight="1">
      <c r="A81" s="349"/>
      <c r="B81" s="351"/>
      <c r="C81" s="351"/>
      <c r="D81" s="351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</row>
    <row r="82" spans="1:27" ht="15.75" customHeight="1">
      <c r="A82" s="349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</row>
    <row r="83" spans="1:27" ht="15.75" customHeight="1">
      <c r="A83" s="349"/>
      <c r="B83" s="351"/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</row>
    <row r="84" spans="1:27" ht="15.75" customHeight="1">
      <c r="A84" s="349"/>
      <c r="B84" s="351"/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</row>
    <row r="85" spans="1:27" ht="15.75" customHeight="1">
      <c r="A85" s="349"/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</row>
    <row r="86" spans="1:27" ht="15.75" customHeight="1">
      <c r="A86" s="349"/>
      <c r="B86" s="351"/>
      <c r="C86" s="351"/>
      <c r="D86" s="351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</row>
    <row r="87" spans="1:27" ht="15.75" customHeight="1">
      <c r="A87" s="349"/>
      <c r="B87" s="351"/>
      <c r="C87" s="351"/>
      <c r="D87" s="351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</row>
    <row r="88" spans="1:27" ht="15.75" customHeight="1">
      <c r="A88" s="349"/>
      <c r="B88" s="351"/>
      <c r="C88" s="351"/>
      <c r="D88" s="351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</row>
    <row r="89" spans="1:27" ht="15.75" customHeight="1">
      <c r="A89" s="349"/>
      <c r="B89" s="351"/>
      <c r="C89" s="351"/>
      <c r="D89" s="351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</row>
    <row r="90" spans="1:27" ht="15.75" customHeight="1">
      <c r="A90" s="349"/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</row>
    <row r="91" spans="1:27" ht="15.75" customHeight="1">
      <c r="A91" s="349"/>
      <c r="B91" s="351"/>
      <c r="C91" s="351"/>
      <c r="D91" s="351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</row>
    <row r="92" spans="1:27" ht="15.75" customHeight="1">
      <c r="A92" s="349"/>
      <c r="B92" s="351"/>
      <c r="C92" s="351"/>
      <c r="D92" s="351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</row>
    <row r="93" spans="1:27" ht="15.75" customHeight="1">
      <c r="A93" s="349"/>
      <c r="B93" s="351"/>
      <c r="C93" s="351"/>
      <c r="D93" s="351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</row>
    <row r="94" spans="1:27" ht="15.75" customHeight="1">
      <c r="A94" s="349"/>
      <c r="B94" s="351"/>
      <c r="C94" s="351"/>
      <c r="D94" s="351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</row>
    <row r="95" spans="1:27" ht="15.75" customHeight="1">
      <c r="A95" s="349"/>
      <c r="B95" s="351"/>
      <c r="C95" s="351"/>
      <c r="D95" s="351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</row>
    <row r="96" spans="1:27" ht="15.75" customHeight="1">
      <c r="A96" s="349"/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</row>
    <row r="97" spans="1:27" ht="15.75" customHeight="1">
      <c r="A97" s="349"/>
      <c r="B97" s="351"/>
      <c r="C97" s="351"/>
      <c r="D97" s="351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</row>
    <row r="98" spans="1:27" ht="15.75" customHeight="1">
      <c r="A98" s="349"/>
      <c r="B98" s="351"/>
      <c r="C98" s="351"/>
      <c r="D98" s="351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</row>
    <row r="99" spans="1:27" ht="15.75" customHeight="1">
      <c r="A99" s="349"/>
      <c r="B99" s="351"/>
      <c r="C99" s="351"/>
      <c r="D99" s="351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</row>
    <row r="100" spans="1:27" ht="15.75" customHeight="1">
      <c r="A100" s="349"/>
      <c r="B100" s="351"/>
      <c r="C100" s="351"/>
      <c r="D100" s="351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</row>
    <row r="101" spans="1:27" ht="15.75" customHeight="1">
      <c r="A101" s="349"/>
      <c r="B101" s="351"/>
      <c r="C101" s="351"/>
      <c r="D101" s="351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</row>
    <row r="102" spans="1:27" ht="15.75" customHeight="1">
      <c r="A102" s="349"/>
      <c r="B102" s="351"/>
      <c r="C102" s="351"/>
      <c r="D102" s="351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</row>
    <row r="103" spans="1:27" ht="15.75" customHeight="1">
      <c r="A103" s="349"/>
      <c r="B103" s="351"/>
      <c r="C103" s="351"/>
      <c r="D103" s="351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</row>
    <row r="104" spans="1:27" ht="15.75" customHeight="1">
      <c r="A104" s="349"/>
      <c r="B104" s="351"/>
      <c r="C104" s="351"/>
      <c r="D104" s="351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</row>
    <row r="105" spans="1:27" ht="15.75" customHeight="1">
      <c r="A105" s="349"/>
      <c r="B105" s="351"/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</row>
    <row r="106" spans="1:27" ht="15.75" customHeight="1">
      <c r="A106" s="349"/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</row>
    <row r="107" spans="1:27" ht="15.75" customHeight="1">
      <c r="A107" s="349"/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</row>
    <row r="108" spans="1:27" ht="15.75" customHeight="1">
      <c r="A108" s="349"/>
      <c r="B108" s="351"/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</row>
    <row r="109" spans="1:27" ht="15.75" customHeight="1">
      <c r="A109" s="349"/>
      <c r="B109" s="351"/>
      <c r="C109" s="351"/>
      <c r="D109" s="351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</row>
    <row r="110" spans="1:27" ht="15.75" customHeight="1">
      <c r="A110" s="349"/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</row>
    <row r="111" spans="1:27" ht="15.75" customHeight="1">
      <c r="A111" s="349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</row>
    <row r="112" spans="1:27" ht="15.75" customHeight="1">
      <c r="A112" s="349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</row>
    <row r="113" spans="1:27" ht="15.75" customHeight="1">
      <c r="A113" s="349"/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</row>
    <row r="114" spans="1:27" ht="15.75" customHeight="1">
      <c r="A114" s="349"/>
      <c r="B114" s="351"/>
      <c r="C114" s="351"/>
      <c r="D114" s="351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</row>
    <row r="115" spans="1:27" ht="15.75" customHeight="1">
      <c r="A115" s="349"/>
      <c r="B115" s="351"/>
      <c r="C115" s="351"/>
      <c r="D115" s="351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</row>
    <row r="116" spans="1:27" ht="15.75" customHeight="1">
      <c r="A116" s="349"/>
      <c r="B116" s="351"/>
      <c r="C116" s="351"/>
      <c r="D116" s="351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</row>
    <row r="117" spans="1:27" ht="15.75" customHeight="1">
      <c r="A117" s="349"/>
      <c r="B117" s="351"/>
      <c r="C117" s="351"/>
      <c r="D117" s="351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</row>
    <row r="118" spans="1:27" ht="15.75" customHeight="1">
      <c r="A118" s="349"/>
      <c r="B118" s="351"/>
      <c r="C118" s="351"/>
      <c r="D118" s="351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</row>
    <row r="119" spans="1:27" ht="15.75" customHeight="1">
      <c r="A119" s="349"/>
      <c r="B119" s="351"/>
      <c r="C119" s="351"/>
      <c r="D119" s="351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</row>
    <row r="120" spans="1:27" ht="15.75" customHeight="1">
      <c r="A120" s="349"/>
      <c r="B120" s="351"/>
      <c r="C120" s="351"/>
      <c r="D120" s="351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</row>
    <row r="121" spans="1:27" ht="15.75" customHeight="1">
      <c r="A121" s="349"/>
      <c r="B121" s="351"/>
      <c r="C121" s="351"/>
      <c r="D121" s="351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</row>
    <row r="122" spans="1:27" ht="15.75" customHeight="1">
      <c r="A122" s="349"/>
      <c r="B122" s="351"/>
      <c r="C122" s="351"/>
      <c r="D122" s="351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</row>
    <row r="123" spans="1:27" ht="15.75" customHeight="1">
      <c r="A123" s="349"/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</row>
    <row r="124" spans="1:27" ht="15.75" customHeight="1">
      <c r="A124" s="349"/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</row>
    <row r="125" spans="1:27" ht="15.75" customHeight="1">
      <c r="A125" s="349"/>
      <c r="B125" s="351"/>
      <c r="C125" s="351"/>
      <c r="D125" s="351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</row>
    <row r="126" spans="1:27" ht="15.75" customHeight="1">
      <c r="A126" s="349"/>
      <c r="B126" s="351"/>
      <c r="C126" s="351"/>
      <c r="D126" s="351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</row>
    <row r="127" spans="1:27" ht="15.75" customHeight="1">
      <c r="A127" s="349"/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</row>
    <row r="128" spans="1:27" ht="15.75" customHeight="1">
      <c r="A128" s="349"/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</row>
    <row r="129" spans="1:27" ht="15.75" customHeight="1">
      <c r="A129" s="349"/>
      <c r="B129" s="351"/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</row>
    <row r="130" spans="1:27" ht="15.75" customHeight="1">
      <c r="A130" s="349"/>
      <c r="B130" s="351"/>
      <c r="C130" s="351"/>
      <c r="D130" s="351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</row>
    <row r="131" spans="1:27" ht="15.75" customHeight="1">
      <c r="A131" s="349"/>
      <c r="B131" s="351"/>
      <c r="C131" s="351"/>
      <c r="D131" s="351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</row>
    <row r="132" spans="1:27" ht="15.75" customHeight="1">
      <c r="A132" s="349"/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</row>
    <row r="133" spans="1:27" ht="15.75" customHeight="1">
      <c r="A133" s="349"/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</row>
    <row r="134" spans="1:27" ht="15.75" customHeight="1">
      <c r="A134" s="349"/>
      <c r="B134" s="351"/>
      <c r="C134" s="351"/>
      <c r="D134" s="351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</row>
    <row r="135" spans="1:27" ht="15.75" customHeight="1">
      <c r="A135" s="349"/>
      <c r="B135" s="351"/>
      <c r="C135" s="351"/>
      <c r="D135" s="351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</row>
    <row r="136" spans="1:27" ht="15.75" customHeight="1">
      <c r="A136" s="349"/>
      <c r="B136" s="351"/>
      <c r="C136" s="351"/>
      <c r="D136" s="351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</row>
    <row r="137" spans="1:27" ht="15.75" customHeight="1">
      <c r="A137" s="349"/>
      <c r="B137" s="351"/>
      <c r="C137" s="351"/>
      <c r="D137" s="351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</row>
    <row r="138" spans="1:27" ht="15.75" customHeight="1">
      <c r="A138" s="349"/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</row>
    <row r="139" spans="1:27" ht="15.75" customHeight="1">
      <c r="A139" s="349"/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</row>
    <row r="140" spans="1:27" ht="15.75" customHeight="1">
      <c r="A140" s="349"/>
      <c r="B140" s="351"/>
      <c r="C140" s="351"/>
      <c r="D140" s="351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</row>
    <row r="141" spans="1:27" ht="15.75" customHeight="1">
      <c r="A141" s="349"/>
      <c r="B141" s="351"/>
      <c r="C141" s="351"/>
      <c r="D141" s="351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</row>
    <row r="142" spans="1:27" ht="15.75" customHeight="1">
      <c r="A142" s="349"/>
      <c r="B142" s="351"/>
      <c r="C142" s="351"/>
      <c r="D142" s="351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</row>
    <row r="143" spans="1:27" ht="15.75" customHeight="1">
      <c r="A143" s="349"/>
      <c r="B143" s="351"/>
      <c r="C143" s="351"/>
      <c r="D143" s="351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</row>
    <row r="144" spans="1:27" ht="15.75" customHeight="1">
      <c r="A144" s="349"/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</row>
    <row r="145" spans="1:27" ht="15.75" customHeight="1">
      <c r="A145" s="349"/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</row>
    <row r="146" spans="1:27" ht="15.75" customHeight="1">
      <c r="A146" s="349"/>
      <c r="B146" s="351"/>
      <c r="C146" s="351"/>
      <c r="D146" s="351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</row>
    <row r="147" spans="1:27" ht="15.75" customHeight="1">
      <c r="A147" s="349"/>
      <c r="B147" s="351"/>
      <c r="C147" s="351"/>
      <c r="D147" s="351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</row>
    <row r="148" spans="1:27" ht="15.75" customHeight="1">
      <c r="A148" s="349"/>
      <c r="B148" s="351"/>
      <c r="C148" s="351"/>
      <c r="D148" s="351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</row>
    <row r="149" spans="1:27" ht="15.75" customHeight="1">
      <c r="A149" s="349"/>
      <c r="B149" s="351"/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</row>
    <row r="150" spans="1:27" ht="15.75" customHeight="1">
      <c r="A150" s="349"/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</row>
    <row r="151" spans="1:27" ht="15.75" customHeight="1">
      <c r="A151" s="349"/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</row>
    <row r="152" spans="1:27" ht="15.75" customHeight="1">
      <c r="A152" s="349"/>
      <c r="B152" s="351"/>
      <c r="C152" s="351"/>
      <c r="D152" s="351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</row>
    <row r="153" spans="1:27" ht="15.75" customHeight="1">
      <c r="A153" s="349"/>
      <c r="B153" s="351"/>
      <c r="C153" s="351"/>
      <c r="D153" s="351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</row>
    <row r="154" spans="1:27" ht="15.75" customHeight="1">
      <c r="A154" s="349"/>
      <c r="B154" s="351"/>
      <c r="C154" s="351"/>
      <c r="D154" s="351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</row>
    <row r="155" spans="1:27" ht="15.75" customHeight="1">
      <c r="A155" s="349"/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</row>
    <row r="156" spans="1:27" ht="15.75" customHeight="1">
      <c r="A156" s="349"/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</row>
    <row r="157" spans="1:27" ht="15.75" customHeight="1">
      <c r="A157" s="349"/>
      <c r="B157" s="351"/>
      <c r="C157" s="351"/>
      <c r="D157" s="351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</row>
    <row r="158" spans="1:27" ht="15.75" customHeight="1">
      <c r="A158" s="349"/>
      <c r="B158" s="351"/>
      <c r="C158" s="351"/>
      <c r="D158" s="351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</row>
    <row r="159" spans="1:27" ht="15.75" customHeight="1">
      <c r="A159" s="349"/>
      <c r="B159" s="351"/>
      <c r="C159" s="351"/>
      <c r="D159" s="351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</row>
    <row r="160" spans="1:27" ht="15.75" customHeight="1">
      <c r="A160" s="349"/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</row>
    <row r="161" spans="1:27" ht="15.75" customHeight="1">
      <c r="A161" s="349"/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</row>
    <row r="162" spans="1:27" ht="15.75" customHeight="1">
      <c r="A162" s="349"/>
      <c r="B162" s="351"/>
      <c r="C162" s="351"/>
      <c r="D162" s="351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</row>
    <row r="163" spans="1:27" ht="15.75" customHeight="1">
      <c r="A163" s="349"/>
      <c r="B163" s="351"/>
      <c r="C163" s="351"/>
      <c r="D163" s="351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</row>
    <row r="164" spans="1:27" ht="15.75" customHeight="1">
      <c r="A164" s="349"/>
      <c r="B164" s="351"/>
      <c r="C164" s="351"/>
      <c r="D164" s="351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</row>
    <row r="165" spans="1:27" ht="15.75" customHeight="1">
      <c r="A165" s="349"/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</row>
    <row r="166" spans="1:27" ht="15.75" customHeight="1">
      <c r="A166" s="349"/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</row>
    <row r="167" spans="1:27" ht="15.75" customHeight="1">
      <c r="A167" s="349"/>
      <c r="B167" s="351"/>
      <c r="C167" s="351"/>
      <c r="D167" s="351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</row>
    <row r="168" spans="1:27" ht="15.75" customHeight="1">
      <c r="A168" s="349"/>
      <c r="B168" s="351"/>
      <c r="C168" s="351"/>
      <c r="D168" s="351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</row>
    <row r="169" spans="1:27" ht="15.75" customHeight="1">
      <c r="A169" s="349"/>
      <c r="B169" s="351"/>
      <c r="C169" s="351"/>
      <c r="D169" s="351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</row>
    <row r="170" spans="1:27" ht="15.75" customHeight="1">
      <c r="A170" s="349"/>
      <c r="B170" s="351"/>
      <c r="C170" s="351"/>
      <c r="D170" s="351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</row>
    <row r="171" spans="1:27" ht="15.75" customHeight="1">
      <c r="A171" s="349"/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</row>
    <row r="172" spans="1:27" ht="15.75" customHeight="1">
      <c r="A172" s="349"/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</row>
    <row r="173" spans="1:27" ht="15.75" customHeight="1">
      <c r="A173" s="349"/>
      <c r="B173" s="351"/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</row>
    <row r="174" spans="1:27" ht="15.75" customHeight="1">
      <c r="A174" s="349"/>
      <c r="B174" s="351"/>
      <c r="C174" s="351"/>
      <c r="D174" s="351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</row>
    <row r="175" spans="1:27" ht="15.75" customHeight="1">
      <c r="A175" s="349"/>
      <c r="B175" s="351"/>
      <c r="C175" s="351"/>
      <c r="D175" s="351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</row>
    <row r="176" spans="1:27" ht="15.75" customHeight="1">
      <c r="A176" s="349"/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</row>
    <row r="177" spans="1:27" ht="15.75" customHeight="1">
      <c r="A177" s="349"/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</row>
    <row r="178" spans="1:27" ht="15.75" customHeight="1">
      <c r="A178" s="349"/>
      <c r="B178" s="351"/>
      <c r="C178" s="351"/>
      <c r="D178" s="351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</row>
    <row r="179" spans="1:27" ht="15.75" customHeight="1">
      <c r="A179" s="349"/>
      <c r="B179" s="351"/>
      <c r="C179" s="351"/>
      <c r="D179" s="351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</row>
    <row r="180" spans="1:27" ht="15.75" customHeight="1">
      <c r="A180" s="349"/>
      <c r="B180" s="351"/>
      <c r="C180" s="351"/>
      <c r="D180" s="351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</row>
    <row r="181" spans="1:27" ht="15.75" customHeight="1">
      <c r="A181" s="349"/>
      <c r="B181" s="351"/>
      <c r="C181" s="351"/>
      <c r="D181" s="351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</row>
    <row r="182" spans="1:27" ht="15.75" customHeight="1">
      <c r="A182" s="349"/>
      <c r="B182" s="351"/>
      <c r="C182" s="351"/>
      <c r="D182" s="351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</row>
    <row r="183" spans="1:27" ht="15.75" customHeight="1">
      <c r="A183" s="349"/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</row>
    <row r="184" spans="1:27" ht="15.75" customHeight="1">
      <c r="A184" s="349"/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</row>
    <row r="185" spans="1:27" ht="15.75" customHeight="1">
      <c r="A185" s="349"/>
      <c r="B185" s="351"/>
      <c r="C185" s="351"/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</row>
    <row r="186" spans="1:27" ht="15.75" customHeight="1">
      <c r="A186" s="349"/>
      <c r="B186" s="351"/>
      <c r="C186" s="351"/>
      <c r="D186" s="351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</row>
    <row r="187" spans="1:27" ht="15.75" customHeight="1">
      <c r="A187" s="349"/>
      <c r="B187" s="351"/>
      <c r="C187" s="351"/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</row>
    <row r="188" spans="1:27" ht="15.75" customHeight="1">
      <c r="A188" s="349"/>
      <c r="B188" s="351"/>
      <c r="C188" s="351"/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</row>
    <row r="189" spans="1:27" ht="15.75" customHeight="1">
      <c r="A189" s="349"/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</row>
    <row r="190" spans="1:27" ht="15.75" customHeight="1">
      <c r="A190" s="349"/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</row>
    <row r="191" spans="1:27" ht="15.75" customHeight="1">
      <c r="A191" s="349"/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</row>
    <row r="192" spans="1:27" ht="15.75" customHeight="1">
      <c r="A192" s="349"/>
      <c r="B192" s="351"/>
      <c r="C192" s="351"/>
      <c r="D192" s="351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</row>
    <row r="193" spans="1:27" ht="15.75" customHeight="1">
      <c r="A193" s="349"/>
      <c r="B193" s="351"/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</row>
    <row r="194" spans="1:27" ht="15.75" customHeight="1">
      <c r="A194" s="349"/>
      <c r="B194" s="351"/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</row>
    <row r="195" spans="1:27" ht="15.75" customHeight="1">
      <c r="A195" s="349"/>
      <c r="B195" s="351"/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</row>
    <row r="196" spans="1:27" ht="15.75" customHeight="1">
      <c r="A196" s="349"/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</row>
    <row r="197" spans="1:27" ht="15.75" customHeight="1">
      <c r="A197" s="349"/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</row>
    <row r="198" spans="1:27" ht="15.75" customHeight="1">
      <c r="A198" s="349"/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</row>
    <row r="199" spans="1:27" ht="15.75" customHeight="1">
      <c r="A199" s="349"/>
      <c r="B199" s="351"/>
      <c r="C199" s="351"/>
      <c r="D199" s="351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</row>
    <row r="200" spans="1:27" ht="15.75" customHeight="1">
      <c r="A200" s="349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</row>
    <row r="201" spans="1:27" ht="15.75" customHeight="1">
      <c r="A201" s="349"/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</row>
    <row r="202" spans="1:27" ht="15.75" customHeight="1">
      <c r="A202" s="349"/>
      <c r="B202" s="351"/>
      <c r="C202" s="351"/>
      <c r="D202" s="351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</row>
    <row r="203" spans="1:27" ht="15.75" customHeight="1">
      <c r="A203" s="349"/>
      <c r="B203" s="351"/>
      <c r="C203" s="351"/>
      <c r="D203" s="351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</row>
    <row r="204" spans="1:27" ht="15.75" customHeight="1">
      <c r="A204" s="349"/>
      <c r="B204" s="351"/>
      <c r="C204" s="351"/>
      <c r="D204" s="351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</row>
    <row r="205" spans="1:27" ht="15.75" customHeight="1">
      <c r="A205" s="349"/>
      <c r="B205" s="351"/>
      <c r="C205" s="351"/>
      <c r="D205" s="351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</row>
    <row r="206" spans="1:27" ht="15.75" customHeight="1">
      <c r="A206" s="349"/>
      <c r="B206" s="351"/>
      <c r="C206" s="351"/>
      <c r="D206" s="351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</row>
    <row r="207" spans="1:27" ht="15.75" customHeight="1">
      <c r="A207" s="349"/>
      <c r="B207" s="351"/>
      <c r="C207" s="351"/>
      <c r="D207" s="351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</row>
    <row r="208" spans="1:27" ht="15.75" customHeight="1">
      <c r="A208" s="349"/>
      <c r="B208" s="351"/>
      <c r="C208" s="351"/>
      <c r="D208" s="351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</row>
    <row r="209" spans="1:27" ht="15.75" customHeight="1">
      <c r="A209" s="349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</row>
    <row r="210" spans="1:27" ht="15.75" customHeight="1">
      <c r="A210" s="349"/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</row>
    <row r="211" spans="1:27" ht="15.75" customHeight="1">
      <c r="A211" s="349"/>
      <c r="B211" s="351"/>
      <c r="C211" s="351"/>
      <c r="D211" s="351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</row>
    <row r="212" spans="1:27" ht="15.75" customHeight="1">
      <c r="A212" s="349"/>
      <c r="B212" s="351"/>
      <c r="C212" s="351"/>
      <c r="D212" s="351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</row>
    <row r="213" spans="1:27" ht="15.75" customHeight="1">
      <c r="A213" s="349"/>
      <c r="B213" s="351"/>
      <c r="C213" s="351"/>
      <c r="D213" s="351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</row>
    <row r="214" spans="1:27" ht="15.75" customHeight="1">
      <c r="A214" s="349"/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</row>
    <row r="215" spans="1:27" ht="15.75" customHeight="1">
      <c r="A215" s="349"/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</row>
    <row r="216" spans="1:27" ht="15.75" customHeight="1">
      <c r="A216" s="349"/>
      <c r="B216" s="351"/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</row>
    <row r="217" spans="1:27" ht="15.75" customHeight="1">
      <c r="A217" s="349"/>
      <c r="B217" s="351"/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</row>
    <row r="218" spans="1:27" ht="15.75" customHeight="1">
      <c r="A218" s="349"/>
      <c r="B218" s="351"/>
      <c r="C218" s="351"/>
      <c r="D218" s="351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</row>
    <row r="219" spans="1:27" ht="15.75" customHeight="1">
      <c r="A219" s="349"/>
      <c r="B219" s="351"/>
      <c r="C219" s="351"/>
      <c r="D219" s="351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</row>
    <row r="220" spans="1:27" ht="15.75" customHeight="1">
      <c r="A220" s="349"/>
      <c r="B220" s="351"/>
      <c r="C220" s="351"/>
      <c r="D220" s="351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</row>
    <row r="221" spans="1:27" ht="15.75" customHeight="1">
      <c r="A221" s="349"/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</row>
    <row r="222" spans="1:27" ht="15.75" customHeight="1">
      <c r="A222" s="349"/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</row>
    <row r="223" spans="1:27" ht="15.75" customHeight="1">
      <c r="A223" s="349"/>
      <c r="B223" s="351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</row>
    <row r="224" spans="1:27" ht="15.75" customHeight="1">
      <c r="A224" s="349"/>
      <c r="B224" s="351"/>
      <c r="C224" s="351"/>
      <c r="D224" s="351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</row>
    <row r="225" spans="1:27" ht="15.75" customHeight="1">
      <c r="A225" s="349"/>
      <c r="B225" s="351"/>
      <c r="C225" s="351"/>
      <c r="D225" s="351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</row>
    <row r="226" spans="1:27" ht="15.75" customHeight="1">
      <c r="A226" s="349"/>
      <c r="B226" s="351"/>
      <c r="C226" s="351"/>
      <c r="D226" s="351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</row>
    <row r="227" spans="1:27" ht="15.75" customHeight="1">
      <c r="A227" s="349"/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</row>
    <row r="228" spans="1:27" ht="15.75" customHeight="1">
      <c r="A228" s="349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</row>
    <row r="229" spans="1:27" ht="15.75" customHeight="1">
      <c r="A229" s="349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</row>
    <row r="230" spans="1:27" ht="15.75" customHeight="1">
      <c r="A230" s="349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</row>
    <row r="231" spans="1:27" ht="15.75" customHeight="1">
      <c r="A231" s="349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</row>
    <row r="232" spans="1:27" ht="15.75" customHeight="1">
      <c r="A232" s="349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</row>
    <row r="233" spans="1:27" ht="15.75" customHeight="1">
      <c r="A233" s="349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</row>
    <row r="234" spans="1:27" ht="15.75" customHeight="1">
      <c r="A234" s="349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</row>
    <row r="235" spans="1:27" ht="15.75" customHeight="1">
      <c r="A235" s="349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</row>
    <row r="236" spans="1:27" ht="15.75" customHeight="1">
      <c r="A236" s="407"/>
    </row>
    <row r="237" spans="1:27" ht="15.75" customHeight="1">
      <c r="A237" s="407"/>
    </row>
    <row r="238" spans="1:27" ht="15.75" customHeight="1">
      <c r="A238" s="407"/>
    </row>
    <row r="239" spans="1:27" ht="15.75" customHeight="1">
      <c r="A239" s="407"/>
    </row>
    <row r="240" spans="1:27" ht="15.75" customHeight="1">
      <c r="A240" s="407"/>
    </row>
    <row r="241" spans="1:1" ht="15.75" customHeight="1">
      <c r="A241" s="407"/>
    </row>
    <row r="242" spans="1:1" ht="15.75" customHeight="1">
      <c r="A242" s="407"/>
    </row>
    <row r="243" spans="1:1" ht="15.75" customHeight="1">
      <c r="A243" s="407"/>
    </row>
    <row r="244" spans="1:1" ht="15.75" customHeight="1">
      <c r="A244" s="407"/>
    </row>
    <row r="245" spans="1:1" ht="15.75" customHeight="1">
      <c r="A245" s="407"/>
    </row>
    <row r="246" spans="1:1" ht="15.75" customHeight="1">
      <c r="A246" s="407"/>
    </row>
    <row r="247" spans="1:1" ht="15.75" customHeight="1">
      <c r="A247" s="407"/>
    </row>
    <row r="248" spans="1:1" ht="15.75" customHeight="1">
      <c r="A248" s="407"/>
    </row>
    <row r="249" spans="1:1" ht="15.75" customHeight="1">
      <c r="A249" s="407"/>
    </row>
    <row r="250" spans="1:1" ht="15.75" customHeight="1">
      <c r="A250" s="407"/>
    </row>
    <row r="251" spans="1:1" ht="15.75" customHeight="1">
      <c r="A251" s="407"/>
    </row>
    <row r="252" spans="1:1" ht="15.75" customHeight="1">
      <c r="A252" s="407"/>
    </row>
    <row r="253" spans="1:1" ht="15.75" customHeight="1">
      <c r="A253" s="407"/>
    </row>
    <row r="254" spans="1:1" ht="15.75" customHeight="1">
      <c r="A254" s="407"/>
    </row>
    <row r="255" spans="1:1" ht="15.75" customHeight="1">
      <c r="A255" s="407"/>
    </row>
    <row r="256" spans="1:1" ht="15.75" customHeight="1">
      <c r="A256" s="407"/>
    </row>
    <row r="257" spans="1:1" ht="15.75" customHeight="1">
      <c r="A257" s="407"/>
    </row>
    <row r="258" spans="1:1" ht="15.75" customHeight="1">
      <c r="A258" s="407"/>
    </row>
    <row r="259" spans="1:1" ht="15.75" customHeight="1">
      <c r="A259" s="407"/>
    </row>
    <row r="260" spans="1:1" ht="15.75" customHeight="1">
      <c r="A260" s="407"/>
    </row>
    <row r="261" spans="1:1" ht="15.75" customHeight="1">
      <c r="A261" s="407"/>
    </row>
    <row r="262" spans="1:1" ht="15.75" customHeight="1">
      <c r="A262" s="407"/>
    </row>
    <row r="263" spans="1:1" ht="15.75" customHeight="1">
      <c r="A263" s="407"/>
    </row>
    <row r="264" spans="1:1" ht="15.75" customHeight="1">
      <c r="A264" s="407"/>
    </row>
    <row r="265" spans="1:1" ht="15.75" customHeight="1">
      <c r="A265" s="407"/>
    </row>
    <row r="266" spans="1:1" ht="15.75" customHeight="1">
      <c r="A266" s="407"/>
    </row>
    <row r="267" spans="1:1" ht="15.75" customHeight="1">
      <c r="A267" s="407"/>
    </row>
    <row r="268" spans="1:1" ht="15.75" customHeight="1">
      <c r="A268" s="407"/>
    </row>
    <row r="269" spans="1:1" ht="15.75" customHeight="1">
      <c r="A269" s="407"/>
    </row>
    <row r="270" spans="1:1" ht="15.75" customHeight="1">
      <c r="A270" s="407"/>
    </row>
    <row r="271" spans="1:1" ht="15.75" customHeight="1">
      <c r="A271" s="407"/>
    </row>
    <row r="272" spans="1:1" ht="15.75" customHeight="1">
      <c r="A272" s="407"/>
    </row>
    <row r="273" spans="1:1" ht="15.75" customHeight="1">
      <c r="A273" s="407"/>
    </row>
    <row r="274" spans="1:1" ht="15.75" customHeight="1">
      <c r="A274" s="407"/>
    </row>
    <row r="275" spans="1:1" ht="15.75" customHeight="1">
      <c r="A275" s="407"/>
    </row>
    <row r="276" spans="1:1" ht="15.75" customHeight="1">
      <c r="A276" s="407"/>
    </row>
    <row r="277" spans="1:1" ht="15.75" customHeight="1">
      <c r="A277" s="407"/>
    </row>
    <row r="278" spans="1:1" ht="15.75" customHeight="1">
      <c r="A278" s="407"/>
    </row>
    <row r="279" spans="1:1" ht="15.75" customHeight="1">
      <c r="A279" s="407"/>
    </row>
    <row r="280" spans="1:1" ht="15.75" customHeight="1">
      <c r="A280" s="407"/>
    </row>
    <row r="281" spans="1:1" ht="15.75" customHeight="1">
      <c r="A281" s="407"/>
    </row>
    <row r="282" spans="1:1" ht="15.75" customHeight="1">
      <c r="A282" s="407"/>
    </row>
    <row r="283" spans="1:1" ht="15.75" customHeight="1">
      <c r="A283" s="407"/>
    </row>
    <row r="284" spans="1:1" ht="15.75" customHeight="1">
      <c r="A284" s="407"/>
    </row>
    <row r="285" spans="1:1" ht="15.75" customHeight="1">
      <c r="A285" s="407"/>
    </row>
    <row r="286" spans="1:1" ht="15.75" customHeight="1">
      <c r="A286" s="407"/>
    </row>
    <row r="287" spans="1:1" ht="15.75" customHeight="1">
      <c r="A287" s="407"/>
    </row>
    <row r="288" spans="1:1" ht="15.75" customHeight="1">
      <c r="A288" s="407"/>
    </row>
    <row r="289" spans="1:1" ht="15.75" customHeight="1">
      <c r="A289" s="407"/>
    </row>
    <row r="290" spans="1:1" ht="15.75" customHeight="1">
      <c r="A290" s="407"/>
    </row>
    <row r="291" spans="1:1" ht="15.75" customHeight="1">
      <c r="A291" s="407"/>
    </row>
    <row r="292" spans="1:1" ht="15.75" customHeight="1">
      <c r="A292" s="407"/>
    </row>
    <row r="293" spans="1:1" ht="15.75" customHeight="1">
      <c r="A293" s="407"/>
    </row>
    <row r="294" spans="1:1" ht="15.75" customHeight="1">
      <c r="A294" s="407"/>
    </row>
    <row r="295" spans="1:1" ht="15.75" customHeight="1">
      <c r="A295" s="407"/>
    </row>
    <row r="296" spans="1:1" ht="15.75" customHeight="1">
      <c r="A296" s="407"/>
    </row>
    <row r="297" spans="1:1" ht="15.75" customHeight="1">
      <c r="A297" s="407"/>
    </row>
    <row r="298" spans="1:1" ht="15.75" customHeight="1">
      <c r="A298" s="407"/>
    </row>
    <row r="299" spans="1:1" ht="15.75" customHeight="1">
      <c r="A299" s="407"/>
    </row>
    <row r="300" spans="1:1" ht="15.75" customHeight="1">
      <c r="A300" s="407"/>
    </row>
    <row r="301" spans="1:1" ht="15.75" customHeight="1">
      <c r="A301" s="407"/>
    </row>
    <row r="302" spans="1:1" ht="15.75" customHeight="1">
      <c r="A302" s="407"/>
    </row>
    <row r="303" spans="1:1" ht="15.75" customHeight="1">
      <c r="A303" s="407"/>
    </row>
    <row r="304" spans="1:1" ht="15.75" customHeight="1">
      <c r="A304" s="407"/>
    </row>
    <row r="305" spans="1:1" ht="15.75" customHeight="1">
      <c r="A305" s="407"/>
    </row>
    <row r="306" spans="1:1" ht="15.75" customHeight="1">
      <c r="A306" s="407"/>
    </row>
    <row r="307" spans="1:1" ht="15.75" customHeight="1">
      <c r="A307" s="407"/>
    </row>
    <row r="308" spans="1:1" ht="15.75" customHeight="1">
      <c r="A308" s="407"/>
    </row>
    <row r="309" spans="1:1" ht="15.75" customHeight="1">
      <c r="A309" s="407"/>
    </row>
    <row r="310" spans="1:1" ht="15.75" customHeight="1">
      <c r="A310" s="407"/>
    </row>
    <row r="311" spans="1:1" ht="15.75" customHeight="1">
      <c r="A311" s="407"/>
    </row>
    <row r="312" spans="1:1" ht="15.75" customHeight="1">
      <c r="A312" s="407"/>
    </row>
    <row r="313" spans="1:1" ht="15.75" customHeight="1">
      <c r="A313" s="407"/>
    </row>
    <row r="314" spans="1:1" ht="15.75" customHeight="1">
      <c r="A314" s="407"/>
    </row>
    <row r="315" spans="1:1" ht="15.75" customHeight="1">
      <c r="A315" s="407"/>
    </row>
    <row r="316" spans="1:1" ht="15.75" customHeight="1">
      <c r="A316" s="407"/>
    </row>
    <row r="317" spans="1:1" ht="15.75" customHeight="1">
      <c r="A317" s="407"/>
    </row>
    <row r="318" spans="1:1" ht="15.75" customHeight="1">
      <c r="A318" s="407"/>
    </row>
    <row r="319" spans="1:1" ht="15.75" customHeight="1">
      <c r="A319" s="407"/>
    </row>
    <row r="320" spans="1:1" ht="15.75" customHeight="1">
      <c r="A320" s="407"/>
    </row>
    <row r="321" spans="1:1" ht="15.75" customHeight="1">
      <c r="A321" s="407"/>
    </row>
    <row r="322" spans="1:1" ht="15.75" customHeight="1">
      <c r="A322" s="407"/>
    </row>
    <row r="323" spans="1:1" ht="15.75" customHeight="1">
      <c r="A323" s="407"/>
    </row>
    <row r="324" spans="1:1" ht="15.75" customHeight="1">
      <c r="A324" s="407"/>
    </row>
    <row r="325" spans="1:1" ht="15.75" customHeight="1">
      <c r="A325" s="407"/>
    </row>
    <row r="326" spans="1:1" ht="15.75" customHeight="1">
      <c r="A326" s="407"/>
    </row>
    <row r="327" spans="1:1" ht="15.75" customHeight="1">
      <c r="A327" s="407"/>
    </row>
    <row r="328" spans="1:1" ht="15.75" customHeight="1">
      <c r="A328" s="407"/>
    </row>
    <row r="329" spans="1:1" ht="15.75" customHeight="1">
      <c r="A329" s="407"/>
    </row>
    <row r="330" spans="1:1" ht="15.75" customHeight="1">
      <c r="A330" s="407"/>
    </row>
    <row r="331" spans="1:1" ht="15.75" customHeight="1">
      <c r="A331" s="407"/>
    </row>
    <row r="332" spans="1:1" ht="15.75" customHeight="1">
      <c r="A332" s="407"/>
    </row>
    <row r="333" spans="1:1" ht="15.75" customHeight="1">
      <c r="A333" s="407"/>
    </row>
    <row r="334" spans="1:1" ht="15.75" customHeight="1">
      <c r="A334" s="407"/>
    </row>
    <row r="335" spans="1:1" ht="15.75" customHeight="1">
      <c r="A335" s="407"/>
    </row>
    <row r="336" spans="1:1" ht="15.75" customHeight="1">
      <c r="A336" s="407"/>
    </row>
    <row r="337" spans="1:1" ht="15.75" customHeight="1">
      <c r="A337" s="407"/>
    </row>
    <row r="338" spans="1:1" ht="15.75" customHeight="1">
      <c r="A338" s="407"/>
    </row>
    <row r="339" spans="1:1" ht="15.75" customHeight="1">
      <c r="A339" s="407"/>
    </row>
    <row r="340" spans="1:1" ht="15.75" customHeight="1">
      <c r="A340" s="407"/>
    </row>
    <row r="341" spans="1:1" ht="15.75" customHeight="1">
      <c r="A341" s="407"/>
    </row>
    <row r="342" spans="1:1" ht="15.75" customHeight="1">
      <c r="A342" s="407"/>
    </row>
    <row r="343" spans="1:1" ht="15.75" customHeight="1">
      <c r="A343" s="407"/>
    </row>
    <row r="344" spans="1:1" ht="15.75" customHeight="1">
      <c r="A344" s="407"/>
    </row>
    <row r="345" spans="1:1" ht="15.75" customHeight="1">
      <c r="A345" s="407"/>
    </row>
    <row r="346" spans="1:1" ht="15.75" customHeight="1">
      <c r="A346" s="407"/>
    </row>
    <row r="347" spans="1:1" ht="15.75" customHeight="1">
      <c r="A347" s="407"/>
    </row>
    <row r="348" spans="1:1" ht="15.75" customHeight="1">
      <c r="A348" s="407"/>
    </row>
    <row r="349" spans="1:1" ht="15.75" customHeight="1">
      <c r="A349" s="407"/>
    </row>
    <row r="350" spans="1:1" ht="15.75" customHeight="1">
      <c r="A350" s="407"/>
    </row>
    <row r="351" spans="1:1" ht="15.75" customHeight="1">
      <c r="A351" s="407"/>
    </row>
    <row r="352" spans="1:1" ht="15.75" customHeight="1">
      <c r="A352" s="407"/>
    </row>
    <row r="353" spans="1:1" ht="15.75" customHeight="1">
      <c r="A353" s="407"/>
    </row>
    <row r="354" spans="1:1" ht="15.75" customHeight="1">
      <c r="A354" s="407"/>
    </row>
    <row r="355" spans="1:1" ht="15.75" customHeight="1">
      <c r="A355" s="407"/>
    </row>
    <row r="356" spans="1:1" ht="15.75" customHeight="1">
      <c r="A356" s="407"/>
    </row>
    <row r="357" spans="1:1" ht="15.75" customHeight="1">
      <c r="A357" s="407"/>
    </row>
    <row r="358" spans="1:1" ht="15.75" customHeight="1">
      <c r="A358" s="407"/>
    </row>
    <row r="359" spans="1:1" ht="15.75" customHeight="1">
      <c r="A359" s="407"/>
    </row>
    <row r="360" spans="1:1" ht="15.75" customHeight="1">
      <c r="A360" s="407"/>
    </row>
    <row r="361" spans="1:1" ht="15.75" customHeight="1">
      <c r="A361" s="407"/>
    </row>
    <row r="362" spans="1:1" ht="15.75" customHeight="1">
      <c r="A362" s="407"/>
    </row>
    <row r="363" spans="1:1" ht="15.75" customHeight="1">
      <c r="A363" s="407"/>
    </row>
    <row r="364" spans="1:1" ht="15.75" customHeight="1">
      <c r="A364" s="407"/>
    </row>
    <row r="365" spans="1:1" ht="15.75" customHeight="1">
      <c r="A365" s="407"/>
    </row>
    <row r="366" spans="1:1" ht="15.75" customHeight="1">
      <c r="A366" s="407"/>
    </row>
    <row r="367" spans="1:1" ht="15.75" customHeight="1">
      <c r="A367" s="407"/>
    </row>
    <row r="368" spans="1:1" ht="15.75" customHeight="1">
      <c r="A368" s="407"/>
    </row>
    <row r="369" spans="1:1" ht="15.75" customHeight="1">
      <c r="A369" s="407"/>
    </row>
    <row r="370" spans="1:1" ht="15.75" customHeight="1">
      <c r="A370" s="407"/>
    </row>
    <row r="371" spans="1:1" ht="15.75" customHeight="1">
      <c r="A371" s="407"/>
    </row>
    <row r="372" spans="1:1" ht="15.75" customHeight="1">
      <c r="A372" s="407"/>
    </row>
    <row r="373" spans="1:1" ht="15.75" customHeight="1">
      <c r="A373" s="407"/>
    </row>
    <row r="374" spans="1:1" ht="15.75" customHeight="1">
      <c r="A374" s="407"/>
    </row>
    <row r="375" spans="1:1" ht="15.75" customHeight="1">
      <c r="A375" s="407"/>
    </row>
    <row r="376" spans="1:1" ht="15.75" customHeight="1">
      <c r="A376" s="407"/>
    </row>
    <row r="377" spans="1:1" ht="15.75" customHeight="1">
      <c r="A377" s="407"/>
    </row>
    <row r="378" spans="1:1" ht="15.75" customHeight="1">
      <c r="A378" s="407"/>
    </row>
    <row r="379" spans="1:1" ht="15.75" customHeight="1">
      <c r="A379" s="407"/>
    </row>
    <row r="380" spans="1:1" ht="15.75" customHeight="1">
      <c r="A380" s="407"/>
    </row>
    <row r="381" spans="1:1" ht="15.75" customHeight="1">
      <c r="A381" s="407"/>
    </row>
    <row r="382" spans="1:1" ht="15.75" customHeight="1">
      <c r="A382" s="407"/>
    </row>
    <row r="383" spans="1:1" ht="15.75" customHeight="1">
      <c r="A383" s="407"/>
    </row>
    <row r="384" spans="1:1" ht="15.75" customHeight="1">
      <c r="A384" s="407"/>
    </row>
    <row r="385" spans="1:1" ht="15.75" customHeight="1">
      <c r="A385" s="407"/>
    </row>
    <row r="386" spans="1:1" ht="15.75" customHeight="1">
      <c r="A386" s="407"/>
    </row>
    <row r="387" spans="1:1" ht="15.75" customHeight="1">
      <c r="A387" s="407"/>
    </row>
    <row r="388" spans="1:1" ht="15.75" customHeight="1">
      <c r="A388" s="407"/>
    </row>
    <row r="389" spans="1:1" ht="15.75" customHeight="1">
      <c r="A389" s="407"/>
    </row>
    <row r="390" spans="1:1" ht="15.75" customHeight="1">
      <c r="A390" s="407"/>
    </row>
    <row r="391" spans="1:1" ht="15.75" customHeight="1">
      <c r="A391" s="407"/>
    </row>
    <row r="392" spans="1:1" ht="15.75" customHeight="1">
      <c r="A392" s="407"/>
    </row>
    <row r="393" spans="1:1" ht="15.75" customHeight="1">
      <c r="A393" s="407"/>
    </row>
    <row r="394" spans="1:1" ht="15.75" customHeight="1">
      <c r="A394" s="407"/>
    </row>
    <row r="395" spans="1:1" ht="15.75" customHeight="1">
      <c r="A395" s="407"/>
    </row>
    <row r="396" spans="1:1" ht="15.75" customHeight="1">
      <c r="A396" s="407"/>
    </row>
    <row r="397" spans="1:1" ht="15.75" customHeight="1">
      <c r="A397" s="407"/>
    </row>
    <row r="398" spans="1:1" ht="15.75" customHeight="1">
      <c r="A398" s="407"/>
    </row>
    <row r="399" spans="1:1" ht="15.75" customHeight="1">
      <c r="A399" s="407"/>
    </row>
    <row r="400" spans="1:1" ht="15.75" customHeight="1">
      <c r="A400" s="407"/>
    </row>
    <row r="401" spans="1:1" ht="15.75" customHeight="1">
      <c r="A401" s="407"/>
    </row>
    <row r="402" spans="1:1" ht="15.75" customHeight="1">
      <c r="A402" s="407"/>
    </row>
    <row r="403" spans="1:1" ht="15.75" customHeight="1">
      <c r="A403" s="407"/>
    </row>
    <row r="404" spans="1:1" ht="15.75" customHeight="1">
      <c r="A404" s="407"/>
    </row>
    <row r="405" spans="1:1" ht="15.75" customHeight="1">
      <c r="A405" s="407"/>
    </row>
    <row r="406" spans="1:1" ht="15.75" customHeight="1">
      <c r="A406" s="407"/>
    </row>
    <row r="407" spans="1:1" ht="15.75" customHeight="1">
      <c r="A407" s="407"/>
    </row>
    <row r="408" spans="1:1" ht="15.75" customHeight="1">
      <c r="A408" s="407"/>
    </row>
    <row r="409" spans="1:1" ht="15.75" customHeight="1">
      <c r="A409" s="407"/>
    </row>
    <row r="410" spans="1:1" ht="15.75" customHeight="1">
      <c r="A410" s="407"/>
    </row>
    <row r="411" spans="1:1" ht="15.75" customHeight="1">
      <c r="A411" s="407"/>
    </row>
    <row r="412" spans="1:1" ht="15.75" customHeight="1">
      <c r="A412" s="407"/>
    </row>
    <row r="413" spans="1:1" ht="15.75" customHeight="1">
      <c r="A413" s="407"/>
    </row>
    <row r="414" spans="1:1" ht="15.75" customHeight="1">
      <c r="A414" s="407"/>
    </row>
    <row r="415" spans="1:1" ht="15.75" customHeight="1">
      <c r="A415" s="407"/>
    </row>
    <row r="416" spans="1:1" ht="15.75" customHeight="1">
      <c r="A416" s="407"/>
    </row>
    <row r="417" spans="1:1" ht="15.75" customHeight="1">
      <c r="A417" s="407"/>
    </row>
    <row r="418" spans="1:1" ht="15.75" customHeight="1">
      <c r="A418" s="407"/>
    </row>
    <row r="419" spans="1:1" ht="15.75" customHeight="1">
      <c r="A419" s="407"/>
    </row>
    <row r="420" spans="1:1" ht="15.75" customHeight="1">
      <c r="A420" s="407"/>
    </row>
    <row r="421" spans="1:1" ht="15.75" customHeight="1">
      <c r="A421" s="407"/>
    </row>
    <row r="422" spans="1:1" ht="15.75" customHeight="1">
      <c r="A422" s="407"/>
    </row>
    <row r="423" spans="1:1" ht="15.75" customHeight="1">
      <c r="A423" s="407"/>
    </row>
    <row r="424" spans="1:1" ht="15.75" customHeight="1">
      <c r="A424" s="407"/>
    </row>
    <row r="425" spans="1:1" ht="15.75" customHeight="1">
      <c r="A425" s="407"/>
    </row>
    <row r="426" spans="1:1" ht="15.75" customHeight="1">
      <c r="A426" s="407"/>
    </row>
    <row r="427" spans="1:1" ht="15.75" customHeight="1">
      <c r="A427" s="407"/>
    </row>
    <row r="428" spans="1:1" ht="15.75" customHeight="1">
      <c r="A428" s="407"/>
    </row>
    <row r="429" spans="1:1" ht="15.75" customHeight="1">
      <c r="A429" s="407"/>
    </row>
    <row r="430" spans="1:1" ht="15.75" customHeight="1">
      <c r="A430" s="407"/>
    </row>
    <row r="431" spans="1:1" ht="15.75" customHeight="1">
      <c r="A431" s="407"/>
    </row>
    <row r="432" spans="1:1" ht="15.75" customHeight="1">
      <c r="A432" s="407"/>
    </row>
    <row r="433" spans="1:1" ht="15.75" customHeight="1">
      <c r="A433" s="407"/>
    </row>
    <row r="434" spans="1:1" ht="15.75" customHeight="1">
      <c r="A434" s="407"/>
    </row>
    <row r="435" spans="1:1" ht="15.75" customHeight="1">
      <c r="A435" s="407"/>
    </row>
    <row r="436" spans="1:1" ht="15.75" customHeight="1">
      <c r="A436" s="407"/>
    </row>
    <row r="437" spans="1:1" ht="15.75" customHeight="1">
      <c r="A437" s="407"/>
    </row>
    <row r="438" spans="1:1" ht="15.75" customHeight="1">
      <c r="A438" s="407"/>
    </row>
    <row r="439" spans="1:1" ht="15.75" customHeight="1">
      <c r="A439" s="407"/>
    </row>
    <row r="440" spans="1:1" ht="15.75" customHeight="1">
      <c r="A440" s="407"/>
    </row>
    <row r="441" spans="1:1" ht="15.75" customHeight="1">
      <c r="A441" s="407"/>
    </row>
    <row r="442" spans="1:1" ht="15.75" customHeight="1">
      <c r="A442" s="407"/>
    </row>
    <row r="443" spans="1:1" ht="15.75" customHeight="1">
      <c r="A443" s="407"/>
    </row>
    <row r="444" spans="1:1" ht="15.75" customHeight="1">
      <c r="A444" s="407"/>
    </row>
    <row r="445" spans="1:1" ht="15.75" customHeight="1">
      <c r="A445" s="407"/>
    </row>
    <row r="446" spans="1:1" ht="15.75" customHeight="1">
      <c r="A446" s="407"/>
    </row>
    <row r="447" spans="1:1" ht="15.75" customHeight="1">
      <c r="A447" s="407"/>
    </row>
    <row r="448" spans="1:1" ht="15.75" customHeight="1">
      <c r="A448" s="407"/>
    </row>
    <row r="449" spans="1:1" ht="15.75" customHeight="1">
      <c r="A449" s="407"/>
    </row>
    <row r="450" spans="1:1" ht="15.75" customHeight="1">
      <c r="A450" s="407"/>
    </row>
    <row r="451" spans="1:1" ht="15.75" customHeight="1">
      <c r="A451" s="407"/>
    </row>
    <row r="452" spans="1:1" ht="15.75" customHeight="1">
      <c r="A452" s="407"/>
    </row>
    <row r="453" spans="1:1" ht="15.75" customHeight="1">
      <c r="A453" s="407"/>
    </row>
    <row r="454" spans="1:1" ht="15.75" customHeight="1">
      <c r="A454" s="407"/>
    </row>
    <row r="455" spans="1:1" ht="15.75" customHeight="1">
      <c r="A455" s="407"/>
    </row>
    <row r="456" spans="1:1" ht="15.75" customHeight="1">
      <c r="A456" s="407"/>
    </row>
    <row r="457" spans="1:1" ht="15.75" customHeight="1">
      <c r="A457" s="407"/>
    </row>
    <row r="458" spans="1:1" ht="15.75" customHeight="1">
      <c r="A458" s="407"/>
    </row>
    <row r="459" spans="1:1" ht="15.75" customHeight="1">
      <c r="A459" s="407"/>
    </row>
    <row r="460" spans="1:1" ht="15.75" customHeight="1">
      <c r="A460" s="407"/>
    </row>
    <row r="461" spans="1:1" ht="15.75" customHeight="1">
      <c r="A461" s="407"/>
    </row>
    <row r="462" spans="1:1" ht="15.75" customHeight="1">
      <c r="A462" s="407"/>
    </row>
    <row r="463" spans="1:1" ht="15.75" customHeight="1">
      <c r="A463" s="407"/>
    </row>
    <row r="464" spans="1:1" ht="15.75" customHeight="1">
      <c r="A464" s="407"/>
    </row>
    <row r="465" spans="1:1" ht="15.75" customHeight="1">
      <c r="A465" s="407"/>
    </row>
    <row r="466" spans="1:1" ht="15.75" customHeight="1">
      <c r="A466" s="407"/>
    </row>
    <row r="467" spans="1:1" ht="15.75" customHeight="1">
      <c r="A467" s="407"/>
    </row>
    <row r="468" spans="1:1" ht="15.75" customHeight="1">
      <c r="A468" s="407"/>
    </row>
    <row r="469" spans="1:1" ht="15.75" customHeight="1">
      <c r="A469" s="407"/>
    </row>
    <row r="470" spans="1:1" ht="15.75" customHeight="1">
      <c r="A470" s="407"/>
    </row>
    <row r="471" spans="1:1" ht="15.75" customHeight="1">
      <c r="A471" s="407"/>
    </row>
    <row r="472" spans="1:1" ht="15.75" customHeight="1">
      <c r="A472" s="407"/>
    </row>
    <row r="473" spans="1:1" ht="15.75" customHeight="1">
      <c r="A473" s="407"/>
    </row>
    <row r="474" spans="1:1" ht="15.75" customHeight="1">
      <c r="A474" s="407"/>
    </row>
    <row r="475" spans="1:1" ht="15.75" customHeight="1">
      <c r="A475" s="407"/>
    </row>
    <row r="476" spans="1:1" ht="15.75" customHeight="1">
      <c r="A476" s="407"/>
    </row>
    <row r="477" spans="1:1" ht="15.75" customHeight="1">
      <c r="A477" s="407"/>
    </row>
    <row r="478" spans="1:1" ht="15.75" customHeight="1">
      <c r="A478" s="407"/>
    </row>
    <row r="479" spans="1:1" ht="15.75" customHeight="1">
      <c r="A479" s="407"/>
    </row>
    <row r="480" spans="1:1" ht="15.75" customHeight="1">
      <c r="A480" s="407"/>
    </row>
    <row r="481" spans="1:1" ht="15.75" customHeight="1">
      <c r="A481" s="407"/>
    </row>
    <row r="482" spans="1:1" ht="15.75" customHeight="1">
      <c r="A482" s="407"/>
    </row>
    <row r="483" spans="1:1" ht="15.75" customHeight="1">
      <c r="A483" s="407"/>
    </row>
    <row r="484" spans="1:1" ht="15.75" customHeight="1">
      <c r="A484" s="407"/>
    </row>
    <row r="485" spans="1:1" ht="15.75" customHeight="1">
      <c r="A485" s="407"/>
    </row>
    <row r="486" spans="1:1" ht="15.75" customHeight="1">
      <c r="A486" s="407"/>
    </row>
    <row r="487" spans="1:1" ht="15.75" customHeight="1">
      <c r="A487" s="407"/>
    </row>
    <row r="488" spans="1:1" ht="15.75" customHeight="1">
      <c r="A488" s="407"/>
    </row>
    <row r="489" spans="1:1" ht="15.75" customHeight="1">
      <c r="A489" s="407"/>
    </row>
    <row r="490" spans="1:1" ht="15.75" customHeight="1">
      <c r="A490" s="407"/>
    </row>
    <row r="491" spans="1:1" ht="15.75" customHeight="1">
      <c r="A491" s="407"/>
    </row>
    <row r="492" spans="1:1" ht="15.75" customHeight="1">
      <c r="A492" s="407"/>
    </row>
    <row r="493" spans="1:1" ht="15.75" customHeight="1">
      <c r="A493" s="407"/>
    </row>
    <row r="494" spans="1:1" ht="15.75" customHeight="1">
      <c r="A494" s="407"/>
    </row>
    <row r="495" spans="1:1" ht="15.75" customHeight="1">
      <c r="A495" s="407"/>
    </row>
    <row r="496" spans="1:1" ht="15.75" customHeight="1">
      <c r="A496" s="407"/>
    </row>
    <row r="497" spans="1:1" ht="15.75" customHeight="1">
      <c r="A497" s="407"/>
    </row>
    <row r="498" spans="1:1" ht="15.75" customHeight="1">
      <c r="A498" s="407"/>
    </row>
    <row r="499" spans="1:1" ht="15.75" customHeight="1">
      <c r="A499" s="407"/>
    </row>
    <row r="500" spans="1:1" ht="15.75" customHeight="1">
      <c r="A500" s="407"/>
    </row>
    <row r="501" spans="1:1" ht="15.75" customHeight="1">
      <c r="A501" s="407"/>
    </row>
    <row r="502" spans="1:1" ht="15.75" customHeight="1">
      <c r="A502" s="407"/>
    </row>
    <row r="503" spans="1:1" ht="15.75" customHeight="1">
      <c r="A503" s="407"/>
    </row>
    <row r="504" spans="1:1" ht="15.75" customHeight="1">
      <c r="A504" s="407"/>
    </row>
    <row r="505" spans="1:1" ht="15.75" customHeight="1">
      <c r="A505" s="407"/>
    </row>
    <row r="506" spans="1:1" ht="15.75" customHeight="1">
      <c r="A506" s="407"/>
    </row>
    <row r="507" spans="1:1" ht="15.75" customHeight="1">
      <c r="A507" s="407"/>
    </row>
    <row r="508" spans="1:1" ht="15.75" customHeight="1">
      <c r="A508" s="407"/>
    </row>
    <row r="509" spans="1:1" ht="15.75" customHeight="1">
      <c r="A509" s="407"/>
    </row>
    <row r="510" spans="1:1" ht="15.75" customHeight="1">
      <c r="A510" s="407"/>
    </row>
    <row r="511" spans="1:1" ht="15.75" customHeight="1">
      <c r="A511" s="407"/>
    </row>
    <row r="512" spans="1:1" ht="15.75" customHeight="1">
      <c r="A512" s="407"/>
    </row>
    <row r="513" spans="1:1" ht="15.75" customHeight="1">
      <c r="A513" s="407"/>
    </row>
    <row r="514" spans="1:1" ht="15.75" customHeight="1">
      <c r="A514" s="407"/>
    </row>
    <row r="515" spans="1:1" ht="15.75" customHeight="1">
      <c r="A515" s="407"/>
    </row>
    <row r="516" spans="1:1" ht="15.75" customHeight="1">
      <c r="A516" s="407"/>
    </row>
    <row r="517" spans="1:1" ht="15.75" customHeight="1">
      <c r="A517" s="407"/>
    </row>
    <row r="518" spans="1:1" ht="15.75" customHeight="1">
      <c r="A518" s="407"/>
    </row>
    <row r="519" spans="1:1" ht="15.75" customHeight="1">
      <c r="A519" s="407"/>
    </row>
    <row r="520" spans="1:1" ht="15.75" customHeight="1">
      <c r="A520" s="407"/>
    </row>
    <row r="521" spans="1:1" ht="15.75" customHeight="1">
      <c r="A521" s="407"/>
    </row>
    <row r="522" spans="1:1" ht="15.75" customHeight="1">
      <c r="A522" s="407"/>
    </row>
    <row r="523" spans="1:1" ht="15.75" customHeight="1">
      <c r="A523" s="407"/>
    </row>
    <row r="524" spans="1:1" ht="15.75" customHeight="1">
      <c r="A524" s="407"/>
    </row>
    <row r="525" spans="1:1" ht="15.75" customHeight="1">
      <c r="A525" s="407"/>
    </row>
    <row r="526" spans="1:1" ht="15.75" customHeight="1">
      <c r="A526" s="407"/>
    </row>
    <row r="527" spans="1:1" ht="15.75" customHeight="1">
      <c r="A527" s="407"/>
    </row>
    <row r="528" spans="1:1" ht="15.75" customHeight="1">
      <c r="A528" s="407"/>
    </row>
    <row r="529" spans="1:1" ht="15.75" customHeight="1">
      <c r="A529" s="407"/>
    </row>
    <row r="530" spans="1:1" ht="15.75" customHeight="1">
      <c r="A530" s="407"/>
    </row>
    <row r="531" spans="1:1" ht="15.75" customHeight="1">
      <c r="A531" s="407"/>
    </row>
    <row r="532" spans="1:1" ht="15.75" customHeight="1">
      <c r="A532" s="407"/>
    </row>
    <row r="533" spans="1:1" ht="15.75" customHeight="1">
      <c r="A533" s="407"/>
    </row>
    <row r="534" spans="1:1" ht="15.75" customHeight="1">
      <c r="A534" s="407"/>
    </row>
    <row r="535" spans="1:1" ht="15.75" customHeight="1">
      <c r="A535" s="407"/>
    </row>
    <row r="536" spans="1:1" ht="15.75" customHeight="1">
      <c r="A536" s="407"/>
    </row>
    <row r="537" spans="1:1" ht="15.75" customHeight="1">
      <c r="A537" s="407"/>
    </row>
    <row r="538" spans="1:1" ht="15.75" customHeight="1">
      <c r="A538" s="407"/>
    </row>
    <row r="539" spans="1:1" ht="15.75" customHeight="1">
      <c r="A539" s="407"/>
    </row>
    <row r="540" spans="1:1" ht="15.75" customHeight="1">
      <c r="A540" s="407"/>
    </row>
    <row r="541" spans="1:1" ht="15.75" customHeight="1">
      <c r="A541" s="407"/>
    </row>
    <row r="542" spans="1:1" ht="15.75" customHeight="1">
      <c r="A542" s="407"/>
    </row>
    <row r="543" spans="1:1" ht="15.75" customHeight="1">
      <c r="A543" s="407"/>
    </row>
    <row r="544" spans="1:1" ht="15.75" customHeight="1">
      <c r="A544" s="407"/>
    </row>
    <row r="545" spans="1:1" ht="15.75" customHeight="1">
      <c r="A545" s="407"/>
    </row>
    <row r="546" spans="1:1" ht="15.75" customHeight="1">
      <c r="A546" s="407"/>
    </row>
    <row r="547" spans="1:1" ht="15.75" customHeight="1">
      <c r="A547" s="407"/>
    </row>
    <row r="548" spans="1:1" ht="15.75" customHeight="1">
      <c r="A548" s="407"/>
    </row>
    <row r="549" spans="1:1" ht="15.75" customHeight="1">
      <c r="A549" s="407"/>
    </row>
    <row r="550" spans="1:1" ht="15.75" customHeight="1">
      <c r="A550" s="407"/>
    </row>
    <row r="551" spans="1:1" ht="15.75" customHeight="1">
      <c r="A551" s="407"/>
    </row>
    <row r="552" spans="1:1" ht="15.75" customHeight="1">
      <c r="A552" s="407"/>
    </row>
    <row r="553" spans="1:1" ht="15.75" customHeight="1">
      <c r="A553" s="407"/>
    </row>
    <row r="554" spans="1:1" ht="15.75" customHeight="1">
      <c r="A554" s="407"/>
    </row>
    <row r="555" spans="1:1" ht="15.75" customHeight="1">
      <c r="A555" s="407"/>
    </row>
    <row r="556" spans="1:1" ht="15.75" customHeight="1">
      <c r="A556" s="407"/>
    </row>
    <row r="557" spans="1:1" ht="15.75" customHeight="1">
      <c r="A557" s="407"/>
    </row>
    <row r="558" spans="1:1" ht="15.75" customHeight="1">
      <c r="A558" s="407"/>
    </row>
    <row r="559" spans="1:1" ht="15.75" customHeight="1">
      <c r="A559" s="407"/>
    </row>
    <row r="560" spans="1:1" ht="15.75" customHeight="1">
      <c r="A560" s="407"/>
    </row>
    <row r="561" spans="1:1" ht="15.75" customHeight="1">
      <c r="A561" s="407"/>
    </row>
    <row r="562" spans="1:1" ht="15.75" customHeight="1">
      <c r="A562" s="407"/>
    </row>
    <row r="563" spans="1:1" ht="15.75" customHeight="1">
      <c r="A563" s="407"/>
    </row>
    <row r="564" spans="1:1" ht="15.75" customHeight="1">
      <c r="A564" s="407"/>
    </row>
    <row r="565" spans="1:1" ht="15.75" customHeight="1">
      <c r="A565" s="407"/>
    </row>
    <row r="566" spans="1:1" ht="15.75" customHeight="1">
      <c r="A566" s="407"/>
    </row>
    <row r="567" spans="1:1" ht="15.75" customHeight="1">
      <c r="A567" s="407"/>
    </row>
    <row r="568" spans="1:1" ht="15.75" customHeight="1">
      <c r="A568" s="407"/>
    </row>
    <row r="569" spans="1:1" ht="15.75" customHeight="1">
      <c r="A569" s="407"/>
    </row>
    <row r="570" spans="1:1" ht="15.75" customHeight="1">
      <c r="A570" s="407"/>
    </row>
    <row r="571" spans="1:1" ht="15.75" customHeight="1">
      <c r="A571" s="407"/>
    </row>
    <row r="572" spans="1:1" ht="15.75" customHeight="1">
      <c r="A572" s="407"/>
    </row>
    <row r="573" spans="1:1" ht="15.75" customHeight="1">
      <c r="A573" s="407"/>
    </row>
    <row r="574" spans="1:1" ht="15.75" customHeight="1">
      <c r="A574" s="407"/>
    </row>
    <row r="575" spans="1:1" ht="15.75" customHeight="1">
      <c r="A575" s="407"/>
    </row>
    <row r="576" spans="1:1" ht="15.75" customHeight="1">
      <c r="A576" s="407"/>
    </row>
    <row r="577" spans="1:1" ht="15.75" customHeight="1">
      <c r="A577" s="407"/>
    </row>
    <row r="578" spans="1:1" ht="15.75" customHeight="1">
      <c r="A578" s="407"/>
    </row>
    <row r="579" spans="1:1" ht="15.75" customHeight="1">
      <c r="A579" s="407"/>
    </row>
    <row r="580" spans="1:1" ht="15.75" customHeight="1">
      <c r="A580" s="407"/>
    </row>
    <row r="581" spans="1:1" ht="15.75" customHeight="1">
      <c r="A581" s="407"/>
    </row>
    <row r="582" spans="1:1" ht="15.75" customHeight="1">
      <c r="A582" s="407"/>
    </row>
    <row r="583" spans="1:1" ht="15.75" customHeight="1">
      <c r="A583" s="407"/>
    </row>
    <row r="584" spans="1:1" ht="15.75" customHeight="1">
      <c r="A584" s="407"/>
    </row>
    <row r="585" spans="1:1" ht="15.75" customHeight="1">
      <c r="A585" s="407"/>
    </row>
    <row r="586" spans="1:1" ht="15.75" customHeight="1">
      <c r="A586" s="407"/>
    </row>
    <row r="587" spans="1:1" ht="15.75" customHeight="1">
      <c r="A587" s="407"/>
    </row>
    <row r="588" spans="1:1" ht="15.75" customHeight="1">
      <c r="A588" s="407"/>
    </row>
    <row r="589" spans="1:1" ht="15.75" customHeight="1">
      <c r="A589" s="407"/>
    </row>
    <row r="590" spans="1:1" ht="15.75" customHeight="1">
      <c r="A590" s="407"/>
    </row>
    <row r="591" spans="1:1" ht="15.75" customHeight="1">
      <c r="A591" s="407"/>
    </row>
    <row r="592" spans="1:1" ht="15.75" customHeight="1">
      <c r="A592" s="407"/>
    </row>
    <row r="593" spans="1:1" ht="15.75" customHeight="1">
      <c r="A593" s="407"/>
    </row>
    <row r="594" spans="1:1" ht="15.75" customHeight="1">
      <c r="A594" s="407"/>
    </row>
    <row r="595" spans="1:1" ht="15.75" customHeight="1">
      <c r="A595" s="407"/>
    </row>
    <row r="596" spans="1:1" ht="15.75" customHeight="1">
      <c r="A596" s="407"/>
    </row>
    <row r="597" spans="1:1" ht="15.75" customHeight="1">
      <c r="A597" s="407"/>
    </row>
    <row r="598" spans="1:1" ht="15.75" customHeight="1">
      <c r="A598" s="407"/>
    </row>
    <row r="599" spans="1:1" ht="15.75" customHeight="1">
      <c r="A599" s="407"/>
    </row>
    <row r="600" spans="1:1" ht="15.75" customHeight="1">
      <c r="A600" s="407"/>
    </row>
    <row r="601" spans="1:1" ht="15.75" customHeight="1">
      <c r="A601" s="407"/>
    </row>
    <row r="602" spans="1:1" ht="15.75" customHeight="1">
      <c r="A602" s="407"/>
    </row>
    <row r="603" spans="1:1" ht="15.75" customHeight="1">
      <c r="A603" s="407"/>
    </row>
    <row r="604" spans="1:1" ht="15.75" customHeight="1">
      <c r="A604" s="407"/>
    </row>
    <row r="605" spans="1:1" ht="15.75" customHeight="1">
      <c r="A605" s="407"/>
    </row>
    <row r="606" spans="1:1" ht="15.75" customHeight="1">
      <c r="A606" s="407"/>
    </row>
    <row r="607" spans="1:1" ht="15.75" customHeight="1">
      <c r="A607" s="407"/>
    </row>
    <row r="608" spans="1:1" ht="15.75" customHeight="1">
      <c r="A608" s="407"/>
    </row>
    <row r="609" spans="1:1" ht="15.75" customHeight="1">
      <c r="A609" s="407"/>
    </row>
    <row r="610" spans="1:1" ht="15.75" customHeight="1">
      <c r="A610" s="407"/>
    </row>
    <row r="611" spans="1:1" ht="15.75" customHeight="1">
      <c r="A611" s="407"/>
    </row>
    <row r="612" spans="1:1" ht="15.75" customHeight="1">
      <c r="A612" s="407"/>
    </row>
    <row r="613" spans="1:1" ht="15.75" customHeight="1">
      <c r="A613" s="407"/>
    </row>
    <row r="614" spans="1:1" ht="15.75" customHeight="1">
      <c r="A614" s="407"/>
    </row>
    <row r="615" spans="1:1" ht="15.75" customHeight="1">
      <c r="A615" s="407"/>
    </row>
    <row r="616" spans="1:1" ht="15.75" customHeight="1">
      <c r="A616" s="407"/>
    </row>
    <row r="617" spans="1:1" ht="15.75" customHeight="1">
      <c r="A617" s="407"/>
    </row>
    <row r="618" spans="1:1" ht="15.75" customHeight="1">
      <c r="A618" s="407"/>
    </row>
    <row r="619" spans="1:1" ht="15.75" customHeight="1">
      <c r="A619" s="407"/>
    </row>
    <row r="620" spans="1:1" ht="15.75" customHeight="1">
      <c r="A620" s="407"/>
    </row>
    <row r="621" spans="1:1" ht="15.75" customHeight="1">
      <c r="A621" s="407"/>
    </row>
    <row r="622" spans="1:1" ht="15.75" customHeight="1">
      <c r="A622" s="407"/>
    </row>
    <row r="623" spans="1:1" ht="15.75" customHeight="1">
      <c r="A623" s="407"/>
    </row>
    <row r="624" spans="1:1" ht="15.75" customHeight="1">
      <c r="A624" s="407"/>
    </row>
    <row r="625" spans="1:1" ht="15.75" customHeight="1">
      <c r="A625" s="407"/>
    </row>
    <row r="626" spans="1:1" ht="15.75" customHeight="1">
      <c r="A626" s="407"/>
    </row>
    <row r="627" spans="1:1" ht="15.75" customHeight="1">
      <c r="A627" s="407"/>
    </row>
    <row r="628" spans="1:1" ht="15.75" customHeight="1">
      <c r="A628" s="407"/>
    </row>
    <row r="629" spans="1:1" ht="15.75" customHeight="1">
      <c r="A629" s="407"/>
    </row>
    <row r="630" spans="1:1" ht="15.75" customHeight="1">
      <c r="A630" s="407"/>
    </row>
    <row r="631" spans="1:1" ht="15.75" customHeight="1">
      <c r="A631" s="407"/>
    </row>
    <row r="632" spans="1:1" ht="15.75" customHeight="1">
      <c r="A632" s="407"/>
    </row>
    <row r="633" spans="1:1" ht="15.75" customHeight="1">
      <c r="A633" s="407"/>
    </row>
    <row r="634" spans="1:1" ht="15.75" customHeight="1">
      <c r="A634" s="407"/>
    </row>
    <row r="635" spans="1:1" ht="15.75" customHeight="1">
      <c r="A635" s="407"/>
    </row>
    <row r="636" spans="1:1" ht="15.75" customHeight="1">
      <c r="A636" s="407"/>
    </row>
    <row r="637" spans="1:1" ht="15.75" customHeight="1">
      <c r="A637" s="407"/>
    </row>
    <row r="638" spans="1:1" ht="15.75" customHeight="1">
      <c r="A638" s="407"/>
    </row>
    <row r="639" spans="1:1" ht="15.75" customHeight="1">
      <c r="A639" s="407"/>
    </row>
    <row r="640" spans="1:1" ht="15.75" customHeight="1">
      <c r="A640" s="407"/>
    </row>
    <row r="641" spans="1:1" ht="15.75" customHeight="1">
      <c r="A641" s="407"/>
    </row>
    <row r="642" spans="1:1" ht="15.75" customHeight="1">
      <c r="A642" s="407"/>
    </row>
    <row r="643" spans="1:1" ht="15.75" customHeight="1">
      <c r="A643" s="407"/>
    </row>
    <row r="644" spans="1:1" ht="15.75" customHeight="1">
      <c r="A644" s="407"/>
    </row>
    <row r="645" spans="1:1" ht="15.75" customHeight="1">
      <c r="A645" s="407"/>
    </row>
    <row r="646" spans="1:1" ht="15.75" customHeight="1">
      <c r="A646" s="407"/>
    </row>
    <row r="647" spans="1:1" ht="15.75" customHeight="1">
      <c r="A647" s="407"/>
    </row>
    <row r="648" spans="1:1" ht="15.75" customHeight="1">
      <c r="A648" s="407"/>
    </row>
    <row r="649" spans="1:1" ht="15.75" customHeight="1">
      <c r="A649" s="407"/>
    </row>
    <row r="650" spans="1:1" ht="15.75" customHeight="1">
      <c r="A650" s="407"/>
    </row>
    <row r="651" spans="1:1" ht="15.75" customHeight="1">
      <c r="A651" s="407"/>
    </row>
    <row r="652" spans="1:1" ht="15.75" customHeight="1">
      <c r="A652" s="407"/>
    </row>
    <row r="653" spans="1:1" ht="15.75" customHeight="1">
      <c r="A653" s="407"/>
    </row>
    <row r="654" spans="1:1" ht="15.75" customHeight="1">
      <c r="A654" s="407"/>
    </row>
    <row r="655" spans="1:1" ht="15.75" customHeight="1">
      <c r="A655" s="407"/>
    </row>
    <row r="656" spans="1:1" ht="15.75" customHeight="1">
      <c r="A656" s="407"/>
    </row>
    <row r="657" spans="1:1" ht="15.75" customHeight="1">
      <c r="A657" s="407"/>
    </row>
    <row r="658" spans="1:1" ht="15.75" customHeight="1">
      <c r="A658" s="407"/>
    </row>
    <row r="659" spans="1:1" ht="15.75" customHeight="1">
      <c r="A659" s="407"/>
    </row>
    <row r="660" spans="1:1" ht="15.75" customHeight="1">
      <c r="A660" s="407"/>
    </row>
    <row r="661" spans="1:1" ht="15.75" customHeight="1">
      <c r="A661" s="407"/>
    </row>
    <row r="662" spans="1:1" ht="15.75" customHeight="1">
      <c r="A662" s="407"/>
    </row>
    <row r="663" spans="1:1" ht="15.75" customHeight="1">
      <c r="A663" s="407"/>
    </row>
    <row r="664" spans="1:1" ht="15.75" customHeight="1">
      <c r="A664" s="407"/>
    </row>
    <row r="665" spans="1:1" ht="15.75" customHeight="1">
      <c r="A665" s="407"/>
    </row>
    <row r="666" spans="1:1" ht="15.75" customHeight="1">
      <c r="A666" s="407"/>
    </row>
    <row r="667" spans="1:1" ht="15.75" customHeight="1">
      <c r="A667" s="407"/>
    </row>
    <row r="668" spans="1:1" ht="15.75" customHeight="1">
      <c r="A668" s="407"/>
    </row>
    <row r="669" spans="1:1" ht="15.75" customHeight="1">
      <c r="A669" s="407"/>
    </row>
    <row r="670" spans="1:1" ht="15.75" customHeight="1">
      <c r="A670" s="407"/>
    </row>
    <row r="671" spans="1:1" ht="15.75" customHeight="1">
      <c r="A671" s="407"/>
    </row>
    <row r="672" spans="1:1" ht="15.75" customHeight="1">
      <c r="A672" s="407"/>
    </row>
    <row r="673" spans="1:1" ht="15.75" customHeight="1">
      <c r="A673" s="407"/>
    </row>
    <row r="674" spans="1:1" ht="15.75" customHeight="1">
      <c r="A674" s="407"/>
    </row>
    <row r="675" spans="1:1" ht="15.75" customHeight="1">
      <c r="A675" s="407"/>
    </row>
    <row r="676" spans="1:1" ht="15.75" customHeight="1">
      <c r="A676" s="407"/>
    </row>
    <row r="677" spans="1:1" ht="15.75" customHeight="1">
      <c r="A677" s="407"/>
    </row>
    <row r="678" spans="1:1" ht="15.75" customHeight="1">
      <c r="A678" s="407"/>
    </row>
    <row r="679" spans="1:1" ht="15.75" customHeight="1">
      <c r="A679" s="407"/>
    </row>
    <row r="680" spans="1:1" ht="15.75" customHeight="1">
      <c r="A680" s="407"/>
    </row>
    <row r="681" spans="1:1" ht="15.75" customHeight="1">
      <c r="A681" s="407"/>
    </row>
    <row r="682" spans="1:1" ht="15.75" customHeight="1">
      <c r="A682" s="407"/>
    </row>
    <row r="683" spans="1:1" ht="15.75" customHeight="1">
      <c r="A683" s="407"/>
    </row>
    <row r="684" spans="1:1" ht="15.75" customHeight="1">
      <c r="A684" s="407"/>
    </row>
    <row r="685" spans="1:1" ht="15.75" customHeight="1">
      <c r="A685" s="407"/>
    </row>
    <row r="686" spans="1:1" ht="15.75" customHeight="1">
      <c r="A686" s="407"/>
    </row>
    <row r="687" spans="1:1" ht="15.75" customHeight="1">
      <c r="A687" s="407"/>
    </row>
    <row r="688" spans="1:1" ht="15.75" customHeight="1">
      <c r="A688" s="407"/>
    </row>
    <row r="689" spans="1:1" ht="15.75" customHeight="1">
      <c r="A689" s="407"/>
    </row>
    <row r="690" spans="1:1" ht="15.75" customHeight="1">
      <c r="A690" s="407"/>
    </row>
    <row r="691" spans="1:1" ht="15.75" customHeight="1">
      <c r="A691" s="407"/>
    </row>
    <row r="692" spans="1:1" ht="15.75" customHeight="1">
      <c r="A692" s="407"/>
    </row>
    <row r="693" spans="1:1" ht="15.75" customHeight="1">
      <c r="A693" s="407"/>
    </row>
    <row r="694" spans="1:1" ht="15.75" customHeight="1">
      <c r="A694" s="407"/>
    </row>
    <row r="695" spans="1:1" ht="15.75" customHeight="1">
      <c r="A695" s="407"/>
    </row>
    <row r="696" spans="1:1" ht="15.75" customHeight="1">
      <c r="A696" s="407"/>
    </row>
    <row r="697" spans="1:1" ht="15.75" customHeight="1">
      <c r="A697" s="407"/>
    </row>
    <row r="698" spans="1:1" ht="15.75" customHeight="1">
      <c r="A698" s="407"/>
    </row>
    <row r="699" spans="1:1" ht="15.75" customHeight="1">
      <c r="A699" s="407"/>
    </row>
    <row r="700" spans="1:1" ht="15.75" customHeight="1">
      <c r="A700" s="407"/>
    </row>
    <row r="701" spans="1:1" ht="15.75" customHeight="1">
      <c r="A701" s="407"/>
    </row>
    <row r="702" spans="1:1" ht="15.75" customHeight="1">
      <c r="A702" s="407"/>
    </row>
    <row r="703" spans="1:1" ht="15.75" customHeight="1">
      <c r="A703" s="407"/>
    </row>
    <row r="704" spans="1:1" ht="15.75" customHeight="1">
      <c r="A704" s="407"/>
    </row>
    <row r="705" spans="1:1" ht="15.75" customHeight="1">
      <c r="A705" s="407"/>
    </row>
    <row r="706" spans="1:1" ht="15.75" customHeight="1">
      <c r="A706" s="407"/>
    </row>
    <row r="707" spans="1:1" ht="15.75" customHeight="1">
      <c r="A707" s="407"/>
    </row>
    <row r="708" spans="1:1" ht="15.75" customHeight="1">
      <c r="A708" s="407"/>
    </row>
    <row r="709" spans="1:1" ht="15.75" customHeight="1">
      <c r="A709" s="407"/>
    </row>
    <row r="710" spans="1:1" ht="15.75" customHeight="1">
      <c r="A710" s="407"/>
    </row>
    <row r="711" spans="1:1" ht="15.75" customHeight="1">
      <c r="A711" s="407"/>
    </row>
    <row r="712" spans="1:1" ht="15.75" customHeight="1">
      <c r="A712" s="407"/>
    </row>
    <row r="713" spans="1:1" ht="15.75" customHeight="1">
      <c r="A713" s="407"/>
    </row>
    <row r="714" spans="1:1" ht="15.75" customHeight="1">
      <c r="A714" s="407"/>
    </row>
    <row r="715" spans="1:1" ht="15.75" customHeight="1">
      <c r="A715" s="407"/>
    </row>
    <row r="716" spans="1:1" ht="15.75" customHeight="1">
      <c r="A716" s="407"/>
    </row>
    <row r="717" spans="1:1" ht="15.75" customHeight="1">
      <c r="A717" s="407"/>
    </row>
    <row r="718" spans="1:1" ht="15.75" customHeight="1">
      <c r="A718" s="407"/>
    </row>
    <row r="719" spans="1:1" ht="15.75" customHeight="1">
      <c r="A719" s="407"/>
    </row>
    <row r="720" spans="1:1" ht="15.75" customHeight="1">
      <c r="A720" s="407"/>
    </row>
    <row r="721" spans="1:1" ht="15.75" customHeight="1">
      <c r="A721" s="407"/>
    </row>
    <row r="722" spans="1:1" ht="15.75" customHeight="1">
      <c r="A722" s="407"/>
    </row>
    <row r="723" spans="1:1" ht="15.75" customHeight="1">
      <c r="A723" s="407"/>
    </row>
    <row r="724" spans="1:1" ht="15.75" customHeight="1">
      <c r="A724" s="407"/>
    </row>
    <row r="725" spans="1:1" ht="15.75" customHeight="1">
      <c r="A725" s="407"/>
    </row>
    <row r="726" spans="1:1" ht="15.75" customHeight="1">
      <c r="A726" s="407"/>
    </row>
    <row r="727" spans="1:1" ht="15.75" customHeight="1">
      <c r="A727" s="407"/>
    </row>
    <row r="728" spans="1:1" ht="15.75" customHeight="1">
      <c r="A728" s="407"/>
    </row>
    <row r="729" spans="1:1" ht="15.75" customHeight="1">
      <c r="A729" s="407"/>
    </row>
    <row r="730" spans="1:1" ht="15.75" customHeight="1">
      <c r="A730" s="407"/>
    </row>
    <row r="731" spans="1:1" ht="15.75" customHeight="1">
      <c r="A731" s="407"/>
    </row>
    <row r="732" spans="1:1" ht="15.75" customHeight="1">
      <c r="A732" s="407"/>
    </row>
    <row r="733" spans="1:1" ht="15.75" customHeight="1">
      <c r="A733" s="407"/>
    </row>
    <row r="734" spans="1:1" ht="15.75" customHeight="1">
      <c r="A734" s="407"/>
    </row>
    <row r="735" spans="1:1" ht="15.75" customHeight="1">
      <c r="A735" s="407"/>
    </row>
    <row r="736" spans="1:1" ht="15.75" customHeight="1">
      <c r="A736" s="407"/>
    </row>
    <row r="737" spans="1:1" ht="15.75" customHeight="1">
      <c r="A737" s="407"/>
    </row>
    <row r="738" spans="1:1" ht="15.75" customHeight="1">
      <c r="A738" s="407"/>
    </row>
    <row r="739" spans="1:1" ht="15.75" customHeight="1">
      <c r="A739" s="407"/>
    </row>
    <row r="740" spans="1:1" ht="15.75" customHeight="1">
      <c r="A740" s="407"/>
    </row>
    <row r="741" spans="1:1" ht="15.75" customHeight="1">
      <c r="A741" s="407"/>
    </row>
    <row r="742" spans="1:1" ht="15.75" customHeight="1">
      <c r="A742" s="407"/>
    </row>
    <row r="743" spans="1:1" ht="15.75" customHeight="1">
      <c r="A743" s="407"/>
    </row>
    <row r="744" spans="1:1" ht="15.75" customHeight="1">
      <c r="A744" s="407"/>
    </row>
    <row r="745" spans="1:1" ht="15.75" customHeight="1">
      <c r="A745" s="407"/>
    </row>
    <row r="746" spans="1:1" ht="15.75" customHeight="1">
      <c r="A746" s="407"/>
    </row>
    <row r="747" spans="1:1" ht="15.75" customHeight="1">
      <c r="A747" s="407"/>
    </row>
    <row r="748" spans="1:1" ht="15.75" customHeight="1">
      <c r="A748" s="407"/>
    </row>
    <row r="749" spans="1:1" ht="15.75" customHeight="1">
      <c r="A749" s="407"/>
    </row>
    <row r="750" spans="1:1" ht="15.75" customHeight="1">
      <c r="A750" s="407"/>
    </row>
    <row r="751" spans="1:1" ht="15.75" customHeight="1">
      <c r="A751" s="407"/>
    </row>
    <row r="752" spans="1:1" ht="15.75" customHeight="1">
      <c r="A752" s="407"/>
    </row>
    <row r="753" spans="1:1" ht="15.75" customHeight="1">
      <c r="A753" s="407"/>
    </row>
    <row r="754" spans="1:1" ht="15.75" customHeight="1">
      <c r="A754" s="407"/>
    </row>
    <row r="755" spans="1:1" ht="15.75" customHeight="1">
      <c r="A755" s="407"/>
    </row>
    <row r="756" spans="1:1" ht="15.75" customHeight="1">
      <c r="A756" s="407"/>
    </row>
    <row r="757" spans="1:1" ht="15.75" customHeight="1">
      <c r="A757" s="407"/>
    </row>
    <row r="758" spans="1:1" ht="15.75" customHeight="1">
      <c r="A758" s="407"/>
    </row>
    <row r="759" spans="1:1" ht="15.75" customHeight="1">
      <c r="A759" s="407"/>
    </row>
    <row r="760" spans="1:1" ht="15.75" customHeight="1">
      <c r="A760" s="407"/>
    </row>
    <row r="761" spans="1:1" ht="15.75" customHeight="1">
      <c r="A761" s="407"/>
    </row>
    <row r="762" spans="1:1" ht="15.75" customHeight="1">
      <c r="A762" s="407"/>
    </row>
    <row r="763" spans="1:1" ht="15.75" customHeight="1">
      <c r="A763" s="407"/>
    </row>
    <row r="764" spans="1:1" ht="15.75" customHeight="1">
      <c r="A764" s="407"/>
    </row>
    <row r="765" spans="1:1" ht="15.75" customHeight="1">
      <c r="A765" s="407"/>
    </row>
    <row r="766" spans="1:1" ht="15.75" customHeight="1">
      <c r="A766" s="407"/>
    </row>
    <row r="767" spans="1:1" ht="15.75" customHeight="1">
      <c r="A767" s="407"/>
    </row>
    <row r="768" spans="1:1" ht="15.75" customHeight="1">
      <c r="A768" s="407"/>
    </row>
    <row r="769" spans="1:1" ht="15.75" customHeight="1">
      <c r="A769" s="407"/>
    </row>
    <row r="770" spans="1:1" ht="15.75" customHeight="1">
      <c r="A770" s="407"/>
    </row>
    <row r="771" spans="1:1" ht="15.75" customHeight="1">
      <c r="A771" s="407"/>
    </row>
    <row r="772" spans="1:1" ht="15.75" customHeight="1">
      <c r="A772" s="407"/>
    </row>
    <row r="773" spans="1:1" ht="15.75" customHeight="1">
      <c r="A773" s="407"/>
    </row>
    <row r="774" spans="1:1" ht="15.75" customHeight="1">
      <c r="A774" s="407"/>
    </row>
    <row r="775" spans="1:1" ht="15.75" customHeight="1">
      <c r="A775" s="407"/>
    </row>
    <row r="776" spans="1:1" ht="15.75" customHeight="1">
      <c r="A776" s="407"/>
    </row>
    <row r="777" spans="1:1" ht="15.75" customHeight="1">
      <c r="A777" s="407"/>
    </row>
    <row r="778" spans="1:1" ht="15.75" customHeight="1">
      <c r="A778" s="407"/>
    </row>
    <row r="779" spans="1:1" ht="15.75" customHeight="1">
      <c r="A779" s="407"/>
    </row>
    <row r="780" spans="1:1" ht="15.75" customHeight="1">
      <c r="A780" s="407"/>
    </row>
    <row r="781" spans="1:1" ht="15.75" customHeight="1">
      <c r="A781" s="407"/>
    </row>
    <row r="782" spans="1:1" ht="15.75" customHeight="1">
      <c r="A782" s="407"/>
    </row>
    <row r="783" spans="1:1" ht="15.75" customHeight="1">
      <c r="A783" s="407"/>
    </row>
    <row r="784" spans="1:1" ht="15.75" customHeight="1">
      <c r="A784" s="407"/>
    </row>
    <row r="785" spans="1:1" ht="15.75" customHeight="1">
      <c r="A785" s="407"/>
    </row>
    <row r="786" spans="1:1" ht="15.75" customHeight="1">
      <c r="A786" s="407"/>
    </row>
    <row r="787" spans="1:1" ht="15.75" customHeight="1">
      <c r="A787" s="407"/>
    </row>
    <row r="788" spans="1:1" ht="15.75" customHeight="1">
      <c r="A788" s="407"/>
    </row>
    <row r="789" spans="1:1" ht="15.75" customHeight="1">
      <c r="A789" s="407"/>
    </row>
    <row r="790" spans="1:1" ht="15.75" customHeight="1">
      <c r="A790" s="407"/>
    </row>
    <row r="791" spans="1:1" ht="15.75" customHeight="1">
      <c r="A791" s="407"/>
    </row>
    <row r="792" spans="1:1" ht="15.75" customHeight="1">
      <c r="A792" s="407"/>
    </row>
    <row r="793" spans="1:1" ht="15.75" customHeight="1">
      <c r="A793" s="407"/>
    </row>
    <row r="794" spans="1:1" ht="15.75" customHeight="1">
      <c r="A794" s="407"/>
    </row>
    <row r="795" spans="1:1" ht="15.75" customHeight="1">
      <c r="A795" s="407"/>
    </row>
    <row r="796" spans="1:1" ht="15.75" customHeight="1">
      <c r="A796" s="407"/>
    </row>
    <row r="797" spans="1:1" ht="15.75" customHeight="1">
      <c r="A797" s="407"/>
    </row>
    <row r="798" spans="1:1" ht="15.75" customHeight="1">
      <c r="A798" s="407"/>
    </row>
    <row r="799" spans="1:1" ht="15.75" customHeight="1">
      <c r="A799" s="407"/>
    </row>
    <row r="800" spans="1:1" ht="15.75" customHeight="1">
      <c r="A800" s="407"/>
    </row>
    <row r="801" spans="1:1" ht="15.75" customHeight="1">
      <c r="A801" s="407"/>
    </row>
    <row r="802" spans="1:1" ht="15.75" customHeight="1">
      <c r="A802" s="407"/>
    </row>
    <row r="803" spans="1:1" ht="15.75" customHeight="1">
      <c r="A803" s="407"/>
    </row>
    <row r="804" spans="1:1" ht="15.75" customHeight="1">
      <c r="A804" s="407"/>
    </row>
    <row r="805" spans="1:1" ht="15.75" customHeight="1">
      <c r="A805" s="407"/>
    </row>
    <row r="806" spans="1:1" ht="15.75" customHeight="1">
      <c r="A806" s="407"/>
    </row>
    <row r="807" spans="1:1" ht="15.75" customHeight="1">
      <c r="A807" s="407"/>
    </row>
    <row r="808" spans="1:1" ht="15.75" customHeight="1">
      <c r="A808" s="407"/>
    </row>
    <row r="809" spans="1:1" ht="15.75" customHeight="1">
      <c r="A809" s="407"/>
    </row>
    <row r="810" spans="1:1" ht="15.75" customHeight="1">
      <c r="A810" s="407"/>
    </row>
    <row r="811" spans="1:1" ht="15.75" customHeight="1">
      <c r="A811" s="407"/>
    </row>
    <row r="812" spans="1:1" ht="15.75" customHeight="1">
      <c r="A812" s="407"/>
    </row>
    <row r="813" spans="1:1" ht="15.75" customHeight="1">
      <c r="A813" s="407"/>
    </row>
    <row r="814" spans="1:1" ht="15.75" customHeight="1">
      <c r="A814" s="407"/>
    </row>
    <row r="815" spans="1:1" ht="15.75" customHeight="1">
      <c r="A815" s="407"/>
    </row>
    <row r="816" spans="1:1" ht="15.75" customHeight="1">
      <c r="A816" s="407"/>
    </row>
    <row r="817" spans="1:1" ht="15.75" customHeight="1">
      <c r="A817" s="407"/>
    </row>
    <row r="818" spans="1:1" ht="15.75" customHeight="1">
      <c r="A818" s="407"/>
    </row>
    <row r="819" spans="1:1" ht="15.75" customHeight="1">
      <c r="A819" s="407"/>
    </row>
    <row r="820" spans="1:1" ht="15.75" customHeight="1">
      <c r="A820" s="407"/>
    </row>
    <row r="821" spans="1:1" ht="15.75" customHeight="1">
      <c r="A821" s="407"/>
    </row>
    <row r="822" spans="1:1" ht="15.75" customHeight="1">
      <c r="A822" s="407"/>
    </row>
    <row r="823" spans="1:1" ht="15.75" customHeight="1">
      <c r="A823" s="407"/>
    </row>
    <row r="824" spans="1:1" ht="15.75" customHeight="1">
      <c r="A824" s="407"/>
    </row>
    <row r="825" spans="1:1" ht="15.75" customHeight="1">
      <c r="A825" s="407"/>
    </row>
    <row r="826" spans="1:1" ht="15.75" customHeight="1">
      <c r="A826" s="407"/>
    </row>
    <row r="827" spans="1:1" ht="15.75" customHeight="1">
      <c r="A827" s="407"/>
    </row>
    <row r="828" spans="1:1" ht="15.75" customHeight="1">
      <c r="A828" s="407"/>
    </row>
    <row r="829" spans="1:1" ht="15.75" customHeight="1">
      <c r="A829" s="407"/>
    </row>
    <row r="830" spans="1:1" ht="15.75" customHeight="1">
      <c r="A830" s="407"/>
    </row>
    <row r="831" spans="1:1" ht="15.75" customHeight="1">
      <c r="A831" s="407"/>
    </row>
    <row r="832" spans="1:1" ht="15.75" customHeight="1">
      <c r="A832" s="407"/>
    </row>
    <row r="833" spans="1:1" ht="15.75" customHeight="1">
      <c r="A833" s="407"/>
    </row>
    <row r="834" spans="1:1" ht="15.75" customHeight="1">
      <c r="A834" s="407"/>
    </row>
    <row r="835" spans="1:1" ht="15.75" customHeight="1">
      <c r="A835" s="407"/>
    </row>
    <row r="836" spans="1:1" ht="15.75" customHeight="1">
      <c r="A836" s="407"/>
    </row>
    <row r="837" spans="1:1" ht="15.75" customHeight="1">
      <c r="A837" s="407"/>
    </row>
    <row r="838" spans="1:1" ht="15.75" customHeight="1">
      <c r="A838" s="407"/>
    </row>
    <row r="839" spans="1:1" ht="15.75" customHeight="1">
      <c r="A839" s="407"/>
    </row>
    <row r="840" spans="1:1" ht="15.75" customHeight="1">
      <c r="A840" s="407"/>
    </row>
    <row r="841" spans="1:1" ht="15.75" customHeight="1">
      <c r="A841" s="407"/>
    </row>
    <row r="842" spans="1:1" ht="15.75" customHeight="1">
      <c r="A842" s="407"/>
    </row>
    <row r="843" spans="1:1" ht="15.75" customHeight="1">
      <c r="A843" s="407"/>
    </row>
    <row r="844" spans="1:1" ht="15.75" customHeight="1">
      <c r="A844" s="407"/>
    </row>
    <row r="845" spans="1:1" ht="15.75" customHeight="1">
      <c r="A845" s="407"/>
    </row>
    <row r="846" spans="1:1" ht="15.75" customHeight="1">
      <c r="A846" s="407"/>
    </row>
    <row r="847" spans="1:1" ht="15.75" customHeight="1">
      <c r="A847" s="407"/>
    </row>
    <row r="848" spans="1:1" ht="15.75" customHeight="1">
      <c r="A848" s="407"/>
    </row>
    <row r="849" spans="1:1" ht="15.75" customHeight="1">
      <c r="A849" s="407"/>
    </row>
    <row r="850" spans="1:1" ht="15.75" customHeight="1">
      <c r="A850" s="407"/>
    </row>
    <row r="851" spans="1:1" ht="15.75" customHeight="1">
      <c r="A851" s="407"/>
    </row>
    <row r="852" spans="1:1" ht="15.75" customHeight="1">
      <c r="A852" s="407"/>
    </row>
    <row r="853" spans="1:1" ht="15.75" customHeight="1">
      <c r="A853" s="407"/>
    </row>
    <row r="854" spans="1:1" ht="15.75" customHeight="1">
      <c r="A854" s="407"/>
    </row>
    <row r="855" spans="1:1" ht="15.75" customHeight="1">
      <c r="A855" s="407"/>
    </row>
    <row r="856" spans="1:1" ht="15.75" customHeight="1">
      <c r="A856" s="407"/>
    </row>
    <row r="857" spans="1:1" ht="15.75" customHeight="1">
      <c r="A857" s="407"/>
    </row>
    <row r="858" spans="1:1" ht="15.75" customHeight="1">
      <c r="A858" s="407"/>
    </row>
    <row r="859" spans="1:1" ht="15.75" customHeight="1">
      <c r="A859" s="407"/>
    </row>
    <row r="860" spans="1:1" ht="15.75" customHeight="1">
      <c r="A860" s="407"/>
    </row>
    <row r="861" spans="1:1" ht="15.75" customHeight="1">
      <c r="A861" s="407"/>
    </row>
    <row r="862" spans="1:1" ht="15.75" customHeight="1">
      <c r="A862" s="407"/>
    </row>
    <row r="863" spans="1:1" ht="15.75" customHeight="1">
      <c r="A863" s="407"/>
    </row>
    <row r="864" spans="1:1" ht="15.75" customHeight="1">
      <c r="A864" s="407"/>
    </row>
    <row r="865" spans="1:1" ht="15.75" customHeight="1">
      <c r="A865" s="407"/>
    </row>
    <row r="866" spans="1:1" ht="15.75" customHeight="1">
      <c r="A866" s="407"/>
    </row>
    <row r="867" spans="1:1" ht="15.75" customHeight="1">
      <c r="A867" s="407"/>
    </row>
    <row r="868" spans="1:1" ht="15.75" customHeight="1">
      <c r="A868" s="407"/>
    </row>
    <row r="869" spans="1:1" ht="15.75" customHeight="1">
      <c r="A869" s="407"/>
    </row>
    <row r="870" spans="1:1" ht="15.75" customHeight="1">
      <c r="A870" s="407"/>
    </row>
    <row r="871" spans="1:1" ht="15.75" customHeight="1">
      <c r="A871" s="407"/>
    </row>
    <row r="872" spans="1:1" ht="15.75" customHeight="1">
      <c r="A872" s="407"/>
    </row>
    <row r="873" spans="1:1" ht="15.75" customHeight="1">
      <c r="A873" s="407"/>
    </row>
    <row r="874" spans="1:1" ht="15.75" customHeight="1">
      <c r="A874" s="407"/>
    </row>
    <row r="875" spans="1:1" ht="15.75" customHeight="1">
      <c r="A875" s="407"/>
    </row>
    <row r="876" spans="1:1" ht="15.75" customHeight="1">
      <c r="A876" s="407"/>
    </row>
    <row r="877" spans="1:1" ht="15.75" customHeight="1">
      <c r="A877" s="407"/>
    </row>
    <row r="878" spans="1:1" ht="15.75" customHeight="1">
      <c r="A878" s="407"/>
    </row>
    <row r="879" spans="1:1" ht="15.75" customHeight="1">
      <c r="A879" s="407"/>
    </row>
    <row r="880" spans="1:1" ht="15.75" customHeight="1">
      <c r="A880" s="407"/>
    </row>
    <row r="881" spans="1:1" ht="15.75" customHeight="1">
      <c r="A881" s="407"/>
    </row>
    <row r="882" spans="1:1" ht="15.75" customHeight="1">
      <c r="A882" s="407"/>
    </row>
    <row r="883" spans="1:1" ht="15.75" customHeight="1">
      <c r="A883" s="407"/>
    </row>
    <row r="884" spans="1:1" ht="15.75" customHeight="1">
      <c r="A884" s="407"/>
    </row>
    <row r="885" spans="1:1" ht="15.75" customHeight="1">
      <c r="A885" s="407"/>
    </row>
    <row r="886" spans="1:1" ht="15.75" customHeight="1">
      <c r="A886" s="407"/>
    </row>
    <row r="887" spans="1:1" ht="15.75" customHeight="1">
      <c r="A887" s="407"/>
    </row>
    <row r="888" spans="1:1" ht="15.75" customHeight="1">
      <c r="A888" s="407"/>
    </row>
    <row r="889" spans="1:1" ht="15.75" customHeight="1">
      <c r="A889" s="407"/>
    </row>
    <row r="890" spans="1:1" ht="15.75" customHeight="1">
      <c r="A890" s="407"/>
    </row>
    <row r="891" spans="1:1" ht="15.75" customHeight="1">
      <c r="A891" s="407"/>
    </row>
    <row r="892" spans="1:1" ht="15.75" customHeight="1">
      <c r="A892" s="407"/>
    </row>
    <row r="893" spans="1:1" ht="15.75" customHeight="1">
      <c r="A893" s="407"/>
    </row>
    <row r="894" spans="1:1" ht="15.75" customHeight="1">
      <c r="A894" s="407"/>
    </row>
    <row r="895" spans="1:1" ht="15.75" customHeight="1">
      <c r="A895" s="407"/>
    </row>
    <row r="896" spans="1:1" ht="15.75" customHeight="1">
      <c r="A896" s="407"/>
    </row>
    <row r="897" spans="1:1" ht="15.75" customHeight="1">
      <c r="A897" s="407"/>
    </row>
    <row r="898" spans="1:1" ht="15.75" customHeight="1">
      <c r="A898" s="407"/>
    </row>
    <row r="899" spans="1:1" ht="15.75" customHeight="1">
      <c r="A899" s="407"/>
    </row>
    <row r="900" spans="1:1" ht="15.75" customHeight="1">
      <c r="A900" s="407"/>
    </row>
    <row r="901" spans="1:1" ht="15.75" customHeight="1">
      <c r="A901" s="407"/>
    </row>
    <row r="902" spans="1:1" ht="15.75" customHeight="1">
      <c r="A902" s="407"/>
    </row>
    <row r="903" spans="1:1" ht="15.75" customHeight="1">
      <c r="A903" s="407"/>
    </row>
    <row r="904" spans="1:1" ht="15.75" customHeight="1">
      <c r="A904" s="407"/>
    </row>
    <row r="905" spans="1:1" ht="15.75" customHeight="1">
      <c r="A905" s="407"/>
    </row>
    <row r="906" spans="1:1" ht="15.75" customHeight="1">
      <c r="A906" s="407"/>
    </row>
    <row r="907" spans="1:1" ht="15.75" customHeight="1">
      <c r="A907" s="407"/>
    </row>
    <row r="908" spans="1:1" ht="15.75" customHeight="1">
      <c r="A908" s="407"/>
    </row>
    <row r="909" spans="1:1" ht="15.75" customHeight="1">
      <c r="A909" s="407"/>
    </row>
    <row r="910" spans="1:1" ht="15.75" customHeight="1">
      <c r="A910" s="407"/>
    </row>
    <row r="911" spans="1:1" ht="15.75" customHeight="1">
      <c r="A911" s="407"/>
    </row>
    <row r="912" spans="1:1" ht="15.75" customHeight="1">
      <c r="A912" s="407"/>
    </row>
    <row r="913" spans="1:1" ht="15.75" customHeight="1">
      <c r="A913" s="407"/>
    </row>
    <row r="914" spans="1:1" ht="15.75" customHeight="1">
      <c r="A914" s="407"/>
    </row>
    <row r="915" spans="1:1" ht="15.75" customHeight="1">
      <c r="A915" s="407"/>
    </row>
    <row r="916" spans="1:1" ht="15.75" customHeight="1">
      <c r="A916" s="407"/>
    </row>
    <row r="917" spans="1:1" ht="15.75" customHeight="1">
      <c r="A917" s="407"/>
    </row>
    <row r="918" spans="1:1" ht="15.75" customHeight="1">
      <c r="A918" s="407"/>
    </row>
    <row r="919" spans="1:1" ht="15.75" customHeight="1">
      <c r="A919" s="407"/>
    </row>
    <row r="920" spans="1:1" ht="15.75" customHeight="1">
      <c r="A920" s="407"/>
    </row>
    <row r="921" spans="1:1" ht="15.75" customHeight="1">
      <c r="A921" s="407"/>
    </row>
    <row r="922" spans="1:1" ht="15.75" customHeight="1">
      <c r="A922" s="407"/>
    </row>
    <row r="923" spans="1:1" ht="15.75" customHeight="1">
      <c r="A923" s="407"/>
    </row>
    <row r="924" spans="1:1" ht="15.75" customHeight="1">
      <c r="A924" s="407"/>
    </row>
    <row r="925" spans="1:1" ht="15.75" customHeight="1">
      <c r="A925" s="407"/>
    </row>
    <row r="926" spans="1:1" ht="15.75" customHeight="1">
      <c r="A926" s="407"/>
    </row>
    <row r="927" spans="1:1" ht="15.75" customHeight="1">
      <c r="A927" s="407"/>
    </row>
    <row r="928" spans="1:1" ht="15.75" customHeight="1">
      <c r="A928" s="407"/>
    </row>
    <row r="929" spans="1:1" ht="15.75" customHeight="1">
      <c r="A929" s="407"/>
    </row>
    <row r="930" spans="1:1" ht="15.75" customHeight="1">
      <c r="A930" s="407"/>
    </row>
    <row r="931" spans="1:1" ht="15.75" customHeight="1">
      <c r="A931" s="407"/>
    </row>
    <row r="932" spans="1:1" ht="15.75" customHeight="1">
      <c r="A932" s="407"/>
    </row>
    <row r="933" spans="1:1" ht="15.75" customHeight="1">
      <c r="A933" s="407"/>
    </row>
    <row r="934" spans="1:1" ht="15.75" customHeight="1">
      <c r="A934" s="407"/>
    </row>
    <row r="935" spans="1:1" ht="15.75" customHeight="1">
      <c r="A935" s="407"/>
    </row>
    <row r="936" spans="1:1" ht="15.75" customHeight="1">
      <c r="A936" s="407"/>
    </row>
    <row r="937" spans="1:1" ht="15.75" customHeight="1">
      <c r="A937" s="407"/>
    </row>
    <row r="938" spans="1:1" ht="15.75" customHeight="1">
      <c r="A938" s="407"/>
    </row>
    <row r="939" spans="1:1" ht="15.75" customHeight="1">
      <c r="A939" s="407"/>
    </row>
    <row r="940" spans="1:1" ht="15.75" customHeight="1">
      <c r="A940" s="407"/>
    </row>
    <row r="941" spans="1:1" ht="15.75" customHeight="1">
      <c r="A941" s="407"/>
    </row>
    <row r="942" spans="1:1" ht="15.75" customHeight="1">
      <c r="A942" s="407"/>
    </row>
    <row r="943" spans="1:1" ht="15.75" customHeight="1">
      <c r="A943" s="407"/>
    </row>
    <row r="944" spans="1:1" ht="15.75" customHeight="1">
      <c r="A944" s="407"/>
    </row>
    <row r="945" spans="1:1" ht="15.75" customHeight="1">
      <c r="A945" s="407"/>
    </row>
    <row r="946" spans="1:1" ht="15.75" customHeight="1">
      <c r="A946" s="407"/>
    </row>
    <row r="947" spans="1:1" ht="15.75" customHeight="1">
      <c r="A947" s="407"/>
    </row>
    <row r="948" spans="1:1" ht="15.75" customHeight="1">
      <c r="A948" s="407"/>
    </row>
    <row r="949" spans="1:1" ht="15.75" customHeight="1">
      <c r="A949" s="407"/>
    </row>
    <row r="950" spans="1:1" ht="15.75" customHeight="1">
      <c r="A950" s="407"/>
    </row>
    <row r="951" spans="1:1" ht="15.75" customHeight="1">
      <c r="A951" s="407"/>
    </row>
    <row r="952" spans="1:1" ht="15.75" customHeight="1">
      <c r="A952" s="407"/>
    </row>
    <row r="953" spans="1:1" ht="15.75" customHeight="1">
      <c r="A953" s="407"/>
    </row>
    <row r="954" spans="1:1" ht="15.75" customHeight="1">
      <c r="A954" s="407"/>
    </row>
    <row r="955" spans="1:1" ht="15.75" customHeight="1">
      <c r="A955" s="407"/>
    </row>
    <row r="956" spans="1:1" ht="15.75" customHeight="1">
      <c r="A956" s="407"/>
    </row>
    <row r="957" spans="1:1" ht="15.75" customHeight="1">
      <c r="A957" s="407"/>
    </row>
    <row r="958" spans="1:1" ht="15.75" customHeight="1">
      <c r="A958" s="407"/>
    </row>
    <row r="959" spans="1:1" ht="15.75" customHeight="1">
      <c r="A959" s="407"/>
    </row>
    <row r="960" spans="1:1" ht="15.75" customHeight="1">
      <c r="A960" s="407"/>
    </row>
    <row r="961" spans="1:1" ht="15.75" customHeight="1">
      <c r="A961" s="407"/>
    </row>
    <row r="962" spans="1:1" ht="15.75" customHeight="1">
      <c r="A962" s="407"/>
    </row>
    <row r="963" spans="1:1" ht="15.75" customHeight="1">
      <c r="A963" s="407"/>
    </row>
    <row r="964" spans="1:1" ht="15.75" customHeight="1">
      <c r="A964" s="407"/>
    </row>
    <row r="965" spans="1:1" ht="15.75" customHeight="1">
      <c r="A965" s="407"/>
    </row>
    <row r="966" spans="1:1" ht="15.75" customHeight="1">
      <c r="A966" s="407"/>
    </row>
    <row r="967" spans="1:1" ht="15.75" customHeight="1">
      <c r="A967" s="407"/>
    </row>
    <row r="968" spans="1:1" ht="15.75" customHeight="1">
      <c r="A968" s="407"/>
    </row>
    <row r="969" spans="1:1" ht="15.75" customHeight="1">
      <c r="A969" s="407"/>
    </row>
    <row r="970" spans="1:1" ht="15.75" customHeight="1">
      <c r="A970" s="407"/>
    </row>
    <row r="971" spans="1:1" ht="15.75" customHeight="1">
      <c r="A971" s="407"/>
    </row>
    <row r="972" spans="1:1" ht="15.75" customHeight="1">
      <c r="A972" s="407"/>
    </row>
    <row r="973" spans="1:1" ht="15.75" customHeight="1">
      <c r="A973" s="407"/>
    </row>
    <row r="974" spans="1:1" ht="15.75" customHeight="1">
      <c r="A974" s="407"/>
    </row>
    <row r="975" spans="1:1" ht="15.75" customHeight="1">
      <c r="A975" s="407"/>
    </row>
    <row r="976" spans="1:1" ht="15.75" customHeight="1">
      <c r="A976" s="407"/>
    </row>
    <row r="977" spans="1:1" ht="15.75" customHeight="1">
      <c r="A977" s="407"/>
    </row>
    <row r="978" spans="1:1" ht="15.75" customHeight="1">
      <c r="A978" s="407"/>
    </row>
    <row r="979" spans="1:1" ht="15.75" customHeight="1">
      <c r="A979" s="407"/>
    </row>
    <row r="980" spans="1:1" ht="15.75" customHeight="1">
      <c r="A980" s="407"/>
    </row>
    <row r="981" spans="1:1" ht="15.75" customHeight="1">
      <c r="A981" s="407"/>
    </row>
    <row r="982" spans="1:1" ht="15.75" customHeight="1">
      <c r="A982" s="407"/>
    </row>
    <row r="983" spans="1:1" ht="15.75" customHeight="1">
      <c r="A983" s="407"/>
    </row>
    <row r="984" spans="1:1" ht="15.75" customHeight="1">
      <c r="A984" s="407"/>
    </row>
    <row r="985" spans="1:1" ht="15.75" customHeight="1">
      <c r="A985" s="407"/>
    </row>
    <row r="986" spans="1:1" ht="15.75" customHeight="1">
      <c r="A986" s="407"/>
    </row>
    <row r="987" spans="1:1" ht="15.75" customHeight="1">
      <c r="A987" s="407"/>
    </row>
    <row r="988" spans="1:1" ht="15.75" customHeight="1">
      <c r="A988" s="407"/>
    </row>
    <row r="989" spans="1:1" ht="15.75" customHeight="1">
      <c r="A989" s="407"/>
    </row>
    <row r="990" spans="1:1" ht="15.75" customHeight="1">
      <c r="A990" s="407"/>
    </row>
    <row r="991" spans="1:1" ht="15.75" customHeight="1">
      <c r="A991" s="407"/>
    </row>
    <row r="992" spans="1:1" ht="15.75" customHeight="1">
      <c r="A992" s="407"/>
    </row>
    <row r="993" spans="1:1" ht="15.75" customHeight="1">
      <c r="A993" s="407"/>
    </row>
    <row r="994" spans="1:1" ht="15.75" customHeight="1">
      <c r="A994" s="407"/>
    </row>
    <row r="995" spans="1:1" ht="15.75" customHeight="1">
      <c r="A995" s="407"/>
    </row>
    <row r="996" spans="1:1" ht="15.75" customHeight="1">
      <c r="A996" s="407"/>
    </row>
  </sheetData>
  <mergeCells count="2">
    <mergeCell ref="B5:D5"/>
    <mergeCell ref="H5:I5"/>
  </mergeCells>
  <pageMargins left="0.7" right="0.7" top="0.75" bottom="0.75" header="0" footer="0"/>
  <pageSetup scale="2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E79A-E66D-FA43-9F36-9F3D263E6777}">
  <sheetPr>
    <tabColor rgb="FFF7F2EC"/>
  </sheetPr>
  <dimension ref="B3:J8"/>
  <sheetViews>
    <sheetView zoomScale="85" zoomScaleNormal="85" workbookViewId="0">
      <selection activeCell="I8" sqref="I8:J8"/>
    </sheetView>
  </sheetViews>
  <sheetFormatPr defaultColWidth="11.44140625" defaultRowHeight="14.4"/>
  <sheetData>
    <row r="3" spans="2:10" ht="15">
      <c r="B3" s="174"/>
      <c r="C3" s="502" t="s">
        <v>311</v>
      </c>
      <c r="D3" s="502" t="s">
        <v>312</v>
      </c>
      <c r="E3" s="502" t="s">
        <v>313</v>
      </c>
      <c r="F3" s="502" t="s">
        <v>314</v>
      </c>
      <c r="G3" s="173"/>
      <c r="H3" s="173"/>
    </row>
    <row r="4" spans="2:10" ht="15">
      <c r="B4" s="173" t="s">
        <v>315</v>
      </c>
      <c r="C4" s="173">
        <v>116.56</v>
      </c>
      <c r="D4" s="173">
        <v>116.56</v>
      </c>
      <c r="E4" s="173">
        <v>281.55</v>
      </c>
      <c r="F4" s="173">
        <v>281.55</v>
      </c>
      <c r="G4" s="173">
        <f>AVERAGE(F4,D4)</f>
        <v>199.05500000000001</v>
      </c>
      <c r="H4" s="173"/>
    </row>
    <row r="5" spans="2:10" ht="15">
      <c r="B5" s="173" t="s">
        <v>316</v>
      </c>
      <c r="C5" s="503">
        <v>134.72</v>
      </c>
      <c r="D5" s="173">
        <v>134.72</v>
      </c>
      <c r="E5" s="503">
        <v>457.79</v>
      </c>
      <c r="F5" s="173">
        <v>457.79</v>
      </c>
      <c r="G5" s="173">
        <f t="shared" ref="G5:G8" si="0">AVERAGE(F5,D5)</f>
        <v>296.255</v>
      </c>
      <c r="H5" s="173"/>
    </row>
    <row r="6" spans="2:10" ht="15">
      <c r="B6" s="173" t="s">
        <v>317</v>
      </c>
      <c r="C6" s="503">
        <v>83</v>
      </c>
      <c r="D6" s="173">
        <v>83</v>
      </c>
      <c r="E6" s="503">
        <v>385.22</v>
      </c>
      <c r="F6" s="173">
        <v>385.22</v>
      </c>
      <c r="G6" s="173">
        <f t="shared" si="0"/>
        <v>234.11</v>
      </c>
      <c r="H6" s="173"/>
    </row>
    <row r="7" spans="2:10" ht="15">
      <c r="B7" s="173" t="s">
        <v>318</v>
      </c>
      <c r="C7" s="503">
        <v>208.72</v>
      </c>
      <c r="D7" s="173">
        <v>208.72</v>
      </c>
      <c r="E7" s="503">
        <v>530.36</v>
      </c>
      <c r="F7" s="173">
        <v>530.36</v>
      </c>
      <c r="G7" s="173">
        <f t="shared" si="0"/>
        <v>369.54</v>
      </c>
      <c r="H7" s="173"/>
    </row>
    <row r="8" spans="2:10" ht="15">
      <c r="B8" s="173" t="s">
        <v>319</v>
      </c>
      <c r="C8" s="503">
        <v>253.54</v>
      </c>
      <c r="D8" s="173">
        <v>253.54</v>
      </c>
      <c r="E8" s="503">
        <v>397.02</v>
      </c>
      <c r="F8" s="173">
        <v>397.02</v>
      </c>
      <c r="G8" s="173">
        <f t="shared" si="0"/>
        <v>325.27999999999997</v>
      </c>
      <c r="H8" s="173">
        <f>MEDIAN(G5:G8)</f>
        <v>310.76749999999998</v>
      </c>
      <c r="I8" s="173">
        <f>MEDIAN(G6:G8)</f>
        <v>325.27999999999997</v>
      </c>
      <c r="J8">
        <f>MEDIAN(G7:G8)</f>
        <v>347.40999999999997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2282-25B2-44D8-B9F2-AE9F8AC6380D}">
  <sheetPr>
    <tabColor rgb="FFF7F2EC"/>
  </sheetPr>
  <dimension ref="B3:M73"/>
  <sheetViews>
    <sheetView topLeftCell="A55" zoomScale="85" zoomScaleNormal="85" workbookViewId="0">
      <selection activeCell="B70" sqref="B70"/>
    </sheetView>
  </sheetViews>
  <sheetFormatPr defaultColWidth="11.44140625" defaultRowHeight="14.4"/>
  <sheetData>
    <row r="3" spans="2:13" ht="15">
      <c r="B3" s="174"/>
      <c r="C3" s="502" t="s">
        <v>311</v>
      </c>
      <c r="D3" s="502" t="s">
        <v>312</v>
      </c>
      <c r="E3" s="502" t="s">
        <v>313</v>
      </c>
      <c r="F3" s="502" t="s">
        <v>314</v>
      </c>
      <c r="G3" s="173"/>
      <c r="H3" s="174" t="s">
        <v>308</v>
      </c>
      <c r="I3" s="534" t="s">
        <v>322</v>
      </c>
      <c r="J3" s="535" t="s">
        <v>323</v>
      </c>
    </row>
    <row r="4" spans="2:13" ht="15">
      <c r="B4" s="173" t="s">
        <v>315</v>
      </c>
      <c r="C4" s="173">
        <v>116.56</v>
      </c>
      <c r="D4" s="173">
        <v>116.56</v>
      </c>
      <c r="E4" s="173">
        <v>281.55</v>
      </c>
      <c r="F4" s="173">
        <v>281.55</v>
      </c>
      <c r="G4" s="173">
        <f>AVERAGE(F4,D4)</f>
        <v>199.05500000000001</v>
      </c>
      <c r="H4" s="173"/>
    </row>
    <row r="5" spans="2:13" ht="15">
      <c r="B5" s="173" t="s">
        <v>316</v>
      </c>
      <c r="C5" s="503">
        <v>134.72</v>
      </c>
      <c r="D5" s="173">
        <v>134.72</v>
      </c>
      <c r="E5" s="503">
        <v>457.79</v>
      </c>
      <c r="F5" s="173">
        <v>457.79</v>
      </c>
      <c r="G5" s="173">
        <f t="shared" ref="G5:G8" si="0">AVERAGE(F5,D5)</f>
        <v>296.255</v>
      </c>
      <c r="H5" s="173"/>
    </row>
    <row r="6" spans="2:13" ht="15">
      <c r="B6" s="173" t="s">
        <v>317</v>
      </c>
      <c r="C6" s="503"/>
      <c r="D6" s="173">
        <v>74.405444017611146</v>
      </c>
      <c r="E6" s="173">
        <v>384.37380661539453</v>
      </c>
      <c r="F6" s="173"/>
      <c r="G6" s="173">
        <f>MEDIAN(D6:E6)</f>
        <v>229.38962531650282</v>
      </c>
      <c r="H6" s="173"/>
      <c r="L6">
        <f>AVERAGE(D6:E6)</f>
        <v>229.38962531650284</v>
      </c>
    </row>
    <row r="7" spans="2:13" ht="15">
      <c r="B7" s="173" t="s">
        <v>318</v>
      </c>
      <c r="C7" s="503"/>
      <c r="D7" s="173">
        <v>222.39459253100611</v>
      </c>
      <c r="E7" s="173">
        <v>530.0230288873596</v>
      </c>
      <c r="F7" s="173"/>
      <c r="G7" s="173">
        <f>MEDIAN(D7:E7)</f>
        <v>376.2088107091829</v>
      </c>
      <c r="H7" s="173"/>
      <c r="L7">
        <f>AVERAGE(D7:E7)</f>
        <v>376.20881070918284</v>
      </c>
      <c r="M7">
        <f>AVERAGE(L6:L7)</f>
        <v>302.79921801284286</v>
      </c>
    </row>
    <row r="8" spans="2:13" ht="15">
      <c r="B8" s="173" t="s">
        <v>319</v>
      </c>
      <c r="C8" s="503">
        <v>253.54</v>
      </c>
      <c r="D8" s="173">
        <v>253.54</v>
      </c>
      <c r="E8" s="503">
        <v>397.02</v>
      </c>
      <c r="F8" s="173">
        <v>397.02</v>
      </c>
      <c r="G8" s="173">
        <f t="shared" si="0"/>
        <v>325.27999999999997</v>
      </c>
      <c r="H8" s="173">
        <f>MEDIAN(G5:G8)</f>
        <v>310.76749999999998</v>
      </c>
      <c r="I8" s="173">
        <f>MEDIAN(G6:G8)</f>
        <v>325.27999999999997</v>
      </c>
      <c r="J8">
        <f>MEDIAN(G6:G7)</f>
        <v>302.79921801284286</v>
      </c>
      <c r="M8">
        <v>245</v>
      </c>
    </row>
    <row r="9" spans="2:13">
      <c r="M9">
        <f>M7/M8-1</f>
        <v>0.23591517556262387</v>
      </c>
    </row>
    <row r="44" spans="2:10" ht="15">
      <c r="B44" s="533" t="s">
        <v>431</v>
      </c>
      <c r="C44" s="282" t="s">
        <v>21</v>
      </c>
      <c r="D44" s="282" t="s">
        <v>22</v>
      </c>
      <c r="E44" s="282" t="s">
        <v>23</v>
      </c>
      <c r="F44" s="282" t="s">
        <v>24</v>
      </c>
      <c r="G44" s="282" t="s">
        <v>25</v>
      </c>
      <c r="H44" s="282" t="s">
        <v>26</v>
      </c>
      <c r="I44" s="282" t="s">
        <v>27</v>
      </c>
      <c r="J44" s="282" t="s">
        <v>28</v>
      </c>
    </row>
    <row r="45" spans="2:10">
      <c r="B45" s="533" t="s">
        <v>12</v>
      </c>
      <c r="C45">
        <v>2932.4</v>
      </c>
      <c r="D45">
        <v>2619.3000000000002</v>
      </c>
      <c r="E45">
        <v>3318.6</v>
      </c>
      <c r="F45">
        <v>4673.3999999999996</v>
      </c>
      <c r="G45">
        <v>6309.0900000000011</v>
      </c>
      <c r="H45">
        <v>8517.2715000000007</v>
      </c>
      <c r="I45">
        <v>11498.316525000004</v>
      </c>
      <c r="J45">
        <v>15522.727308750003</v>
      </c>
    </row>
    <row r="46" spans="2:10">
      <c r="B46" s="533" t="s">
        <v>433</v>
      </c>
      <c r="C46">
        <v>2932.4</v>
      </c>
      <c r="D46">
        <v>2619.3000000000002</v>
      </c>
      <c r="E46">
        <v>3318.6</v>
      </c>
      <c r="F46">
        <v>4984.96</v>
      </c>
      <c r="G46">
        <v>6879.2448000000004</v>
      </c>
      <c r="H46">
        <v>8900.0229599999984</v>
      </c>
      <c r="I46">
        <v>12282.031684799998</v>
      </c>
      <c r="J46">
        <v>16949.203725023996</v>
      </c>
    </row>
    <row r="47" spans="2:10">
      <c r="B47" s="533" t="s">
        <v>432</v>
      </c>
      <c r="C47">
        <v>2932.4</v>
      </c>
      <c r="D47">
        <v>2619.3000000000002</v>
      </c>
      <c r="E47">
        <v>3318.6</v>
      </c>
      <c r="F47">
        <v>4206.0600000000004</v>
      </c>
      <c r="G47">
        <v>5467.8780000000006</v>
      </c>
      <c r="H47">
        <v>7108.2414000000017</v>
      </c>
      <c r="I47">
        <v>9240.7138200000027</v>
      </c>
      <c r="J47">
        <v>12012.927966000005</v>
      </c>
    </row>
    <row r="57" spans="2:10" ht="15">
      <c r="B57" s="533" t="s">
        <v>192</v>
      </c>
      <c r="C57" s="282" t="s">
        <v>21</v>
      </c>
      <c r="D57" s="282" t="s">
        <v>22</v>
      </c>
      <c r="E57" s="282" t="s">
        <v>23</v>
      </c>
      <c r="F57" s="282" t="s">
        <v>24</v>
      </c>
      <c r="G57" s="282" t="s">
        <v>25</v>
      </c>
      <c r="H57" s="282" t="s">
        <v>26</v>
      </c>
      <c r="I57" s="282" t="s">
        <v>27</v>
      </c>
      <c r="J57" s="282" t="s">
        <v>28</v>
      </c>
    </row>
    <row r="58" spans="2:10">
      <c r="B58" s="533" t="s">
        <v>12</v>
      </c>
      <c r="C58">
        <v>540.29999999999995</v>
      </c>
      <c r="D58">
        <v>903.6</v>
      </c>
      <c r="E58">
        <v>1386.3</v>
      </c>
      <c r="F58">
        <v>1526</v>
      </c>
      <c r="G58">
        <v>1577.2725000000003</v>
      </c>
      <c r="H58">
        <v>1533.10887</v>
      </c>
      <c r="I58">
        <v>1379.7979830000004</v>
      </c>
      <c r="J58">
        <v>1244.9227301617502</v>
      </c>
    </row>
    <row r="59" spans="2:10">
      <c r="B59" s="533" t="s">
        <v>433</v>
      </c>
      <c r="C59">
        <v>540.29999999999995</v>
      </c>
      <c r="D59">
        <v>903.6</v>
      </c>
      <c r="E59">
        <v>1386.3</v>
      </c>
      <c r="F59">
        <v>1526</v>
      </c>
      <c r="G59">
        <v>1375.8489600000003</v>
      </c>
      <c r="H59">
        <v>1335.0034439999997</v>
      </c>
      <c r="I59">
        <v>1228.2031684799999</v>
      </c>
      <c r="J59">
        <v>1359.3261387469242</v>
      </c>
    </row>
    <row r="60" spans="2:10">
      <c r="B60" s="533" t="s">
        <v>432</v>
      </c>
      <c r="C60">
        <v>540.29999999999995</v>
      </c>
      <c r="D60">
        <v>903.6</v>
      </c>
      <c r="E60">
        <v>1386.3</v>
      </c>
      <c r="F60">
        <v>1526</v>
      </c>
      <c r="G60">
        <v>1531.0058400000003</v>
      </c>
      <c r="H60">
        <v>1421.6482800000006</v>
      </c>
      <c r="I60">
        <v>1386.1070730000006</v>
      </c>
      <c r="J60">
        <v>963.43682287320064</v>
      </c>
    </row>
    <row r="70" spans="2:10" ht="15">
      <c r="B70" s="533" t="s">
        <v>434</v>
      </c>
      <c r="C70" s="282" t="s">
        <v>21</v>
      </c>
      <c r="D70" s="282" t="s">
        <v>22</v>
      </c>
      <c r="E70" s="282" t="s">
        <v>23</v>
      </c>
      <c r="F70" s="282" t="s">
        <v>24</v>
      </c>
      <c r="G70" s="282" t="s">
        <v>25</v>
      </c>
      <c r="H70" s="282" t="s">
        <v>26</v>
      </c>
      <c r="I70" s="282" t="s">
        <v>27</v>
      </c>
      <c r="J70" s="282" t="s">
        <v>28</v>
      </c>
    </row>
    <row r="71" spans="2:10">
      <c r="B71" s="533" t="s">
        <v>12</v>
      </c>
      <c r="C71">
        <v>103.5</v>
      </c>
      <c r="D71">
        <v>52.8</v>
      </c>
      <c r="E71">
        <v>60.55</v>
      </c>
      <c r="F71">
        <v>114.3</v>
      </c>
      <c r="G71">
        <v>757.09080000000006</v>
      </c>
      <c r="H71">
        <v>1107.2452950000002</v>
      </c>
      <c r="I71">
        <v>1724.7474787500005</v>
      </c>
      <c r="J71">
        <v>2483.6363694000006</v>
      </c>
    </row>
    <row r="72" spans="2:10">
      <c r="B72" s="533" t="s">
        <v>433</v>
      </c>
      <c r="C72">
        <v>103.5</v>
      </c>
      <c r="D72">
        <v>52.8</v>
      </c>
      <c r="E72">
        <v>60.55</v>
      </c>
      <c r="F72">
        <v>114.3</v>
      </c>
      <c r="G72">
        <v>825.50937599999997</v>
      </c>
      <c r="H72">
        <v>1068.0027551999997</v>
      </c>
      <c r="I72">
        <v>1719.4844358719999</v>
      </c>
      <c r="J72">
        <v>2542.3805587535994</v>
      </c>
    </row>
    <row r="73" spans="2:10">
      <c r="B73" s="533" t="s">
        <v>432</v>
      </c>
      <c r="C73">
        <v>103.5</v>
      </c>
      <c r="D73">
        <v>52.8</v>
      </c>
      <c r="E73">
        <v>60.55</v>
      </c>
      <c r="F73">
        <v>114.3</v>
      </c>
      <c r="G73">
        <v>492.10902000000004</v>
      </c>
      <c r="H73">
        <v>852.98896800000023</v>
      </c>
      <c r="I73">
        <v>1663.3284876000007</v>
      </c>
      <c r="J73">
        <v>2522.7148728600018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764D-9B5A-4523-997D-6B23910248E0}">
  <sheetPr>
    <tabColor rgb="FFF7F2EC"/>
  </sheetPr>
  <dimension ref="B2:J5"/>
  <sheetViews>
    <sheetView showGridLines="0" workbookViewId="0">
      <selection activeCell="G2" sqref="G2:H2"/>
    </sheetView>
  </sheetViews>
  <sheetFormatPr defaultRowHeight="14.4"/>
  <cols>
    <col min="2" max="2" width="14.21875" customWidth="1"/>
    <col min="3" max="3" width="2.77734375" customWidth="1"/>
    <col min="4" max="6" width="2.77734375" hidden="1" customWidth="1"/>
    <col min="7" max="8" width="6.5546875" customWidth="1"/>
    <col min="9" max="10" width="11" customWidth="1"/>
  </cols>
  <sheetData>
    <row r="2" spans="2:10" ht="17.399999999999999">
      <c r="B2" s="333" t="s">
        <v>237</v>
      </c>
      <c r="C2" s="334"/>
      <c r="D2" s="334"/>
      <c r="E2" s="334"/>
      <c r="F2" s="334"/>
      <c r="G2" s="598" t="s">
        <v>267</v>
      </c>
      <c r="H2" s="599"/>
      <c r="I2" s="525" t="s">
        <v>268</v>
      </c>
      <c r="J2" s="526" t="s">
        <v>269</v>
      </c>
    </row>
    <row r="3" spans="2:10" ht="17.399999999999999">
      <c r="B3" s="263" t="s">
        <v>320</v>
      </c>
      <c r="C3" s="216"/>
      <c r="D3" s="216"/>
      <c r="E3" s="216"/>
      <c r="F3" s="216"/>
      <c r="G3" s="600">
        <f>WACC!G21/1000000</f>
        <v>891.9</v>
      </c>
      <c r="H3" s="601"/>
      <c r="I3" s="527">
        <f>G3/G5</f>
        <v>3.2705632585385572E-2</v>
      </c>
      <c r="J3" s="528">
        <f>WACC!J11</f>
        <v>5.6129789999999999E-2</v>
      </c>
    </row>
    <row r="4" spans="2:10" ht="17.399999999999999">
      <c r="B4" s="263" t="s">
        <v>321</v>
      </c>
      <c r="C4" s="216"/>
      <c r="D4" s="216"/>
      <c r="E4" s="216"/>
      <c r="F4" s="216"/>
      <c r="G4" s="600">
        <f>WACC!G22/1000000</f>
        <v>26378.632000000001</v>
      </c>
      <c r="H4" s="601"/>
      <c r="I4" s="527">
        <f>G4/G5</f>
        <v>0.96729436741461439</v>
      </c>
      <c r="J4" s="528">
        <f>WACC!J18</f>
        <v>0.12100000000000002</v>
      </c>
    </row>
    <row r="5" spans="2:10" ht="17.399999999999999">
      <c r="B5" s="336" t="s">
        <v>271</v>
      </c>
      <c r="C5" s="337"/>
      <c r="D5" s="337"/>
      <c r="E5" s="337"/>
      <c r="F5" s="337"/>
      <c r="G5" s="602">
        <f>SUM(G3:G4)</f>
        <v>27270.532000000003</v>
      </c>
      <c r="H5" s="603"/>
      <c r="I5" s="529">
        <f>SUM(I3:I4)</f>
        <v>1</v>
      </c>
      <c r="J5" s="530">
        <f>I3*J3+I4*J4</f>
        <v>0.11887837874600321</v>
      </c>
    </row>
  </sheetData>
  <mergeCells count="4">
    <mergeCell ref="G2:H2"/>
    <mergeCell ref="G3:H3"/>
    <mergeCell ref="G4:H4"/>
    <mergeCell ref="G5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9B88-0118-441D-B451-166BFEF5E525}">
  <dimension ref="A1:BS107"/>
  <sheetViews>
    <sheetView topLeftCell="AU1" workbookViewId="0">
      <selection activeCell="AY33" sqref="AY33"/>
    </sheetView>
  </sheetViews>
  <sheetFormatPr defaultColWidth="8.77734375" defaultRowHeight="14.4"/>
  <cols>
    <col min="1" max="1" width="9.88671875" style="537" bestFit="1" customWidth="1"/>
    <col min="2" max="16384" width="8.77734375" style="537"/>
  </cols>
  <sheetData>
    <row r="1" spans="1:71">
      <c r="A1" s="537" t="s">
        <v>4</v>
      </c>
      <c r="B1" s="537" t="s">
        <v>427</v>
      </c>
      <c r="D1" s="537" t="s">
        <v>311</v>
      </c>
      <c r="E1" s="537" t="s">
        <v>313</v>
      </c>
      <c r="F1" s="537" t="s">
        <v>312</v>
      </c>
      <c r="G1" s="537" t="s">
        <v>430</v>
      </c>
      <c r="H1" s="537" t="s">
        <v>429</v>
      </c>
      <c r="L1" s="537" t="s">
        <v>4</v>
      </c>
      <c r="M1" s="539">
        <v>45962</v>
      </c>
      <c r="N1" s="539">
        <v>45931</v>
      </c>
      <c r="O1" s="539">
        <v>45901</v>
      </c>
      <c r="P1" s="539">
        <v>45870</v>
      </c>
      <c r="Q1" s="539">
        <v>45839</v>
      </c>
      <c r="R1" s="539">
        <v>45809</v>
      </c>
      <c r="S1" s="539">
        <v>45778</v>
      </c>
      <c r="T1" s="539">
        <v>45748</v>
      </c>
      <c r="U1" s="539">
        <v>45717</v>
      </c>
      <c r="V1" s="539">
        <v>45689</v>
      </c>
      <c r="W1" s="539">
        <v>45658</v>
      </c>
      <c r="X1" s="539">
        <v>45627</v>
      </c>
      <c r="Y1" s="539">
        <v>45597</v>
      </c>
      <c r="Z1" s="539">
        <v>45566</v>
      </c>
      <c r="AA1" s="539">
        <v>45536</v>
      </c>
      <c r="AB1" s="539">
        <v>45505</v>
      </c>
      <c r="AC1" s="539">
        <v>45474</v>
      </c>
      <c r="AD1" s="539">
        <v>45444</v>
      </c>
      <c r="AE1" s="539">
        <v>45413</v>
      </c>
      <c r="AF1" s="539">
        <v>45383</v>
      </c>
      <c r="AG1" s="539">
        <v>45352</v>
      </c>
      <c r="AH1" s="539">
        <v>45323</v>
      </c>
      <c r="AI1" s="539">
        <v>45292</v>
      </c>
      <c r="AJ1" s="539">
        <v>45261</v>
      </c>
      <c r="AK1" s="539">
        <v>45231</v>
      </c>
      <c r="AL1" s="539">
        <v>45200</v>
      </c>
      <c r="AM1" s="539">
        <v>45170</v>
      </c>
      <c r="AN1" s="539">
        <v>45139</v>
      </c>
      <c r="AO1" s="539">
        <v>45108</v>
      </c>
      <c r="AP1" s="539">
        <v>45078</v>
      </c>
      <c r="AQ1" s="539">
        <v>45047</v>
      </c>
      <c r="AR1" s="539">
        <v>45017</v>
      </c>
      <c r="AS1" s="539">
        <v>44986</v>
      </c>
      <c r="AT1" s="539">
        <v>44958</v>
      </c>
      <c r="AU1" s="539">
        <v>44927</v>
      </c>
      <c r="AV1" s="539">
        <v>44896</v>
      </c>
      <c r="AW1" s="539">
        <v>44866</v>
      </c>
      <c r="AX1" s="539">
        <v>44835</v>
      </c>
      <c r="AY1" s="539">
        <v>44805</v>
      </c>
      <c r="AZ1" s="539">
        <v>44774</v>
      </c>
      <c r="BA1" s="539">
        <v>44743</v>
      </c>
      <c r="BB1" s="539">
        <v>44713</v>
      </c>
      <c r="BC1" s="539">
        <v>44682</v>
      </c>
      <c r="BD1" s="539">
        <v>44652</v>
      </c>
      <c r="BE1" s="539">
        <v>44621</v>
      </c>
      <c r="BF1" s="539">
        <v>44593</v>
      </c>
      <c r="BG1" s="539">
        <v>44562</v>
      </c>
      <c r="BH1" s="539">
        <v>44531</v>
      </c>
      <c r="BI1" s="539">
        <v>44501</v>
      </c>
      <c r="BJ1" s="539">
        <v>44470</v>
      </c>
      <c r="BK1" s="539">
        <v>44440</v>
      </c>
      <c r="BL1" s="539">
        <v>44409</v>
      </c>
      <c r="BM1" s="539">
        <v>44378</v>
      </c>
      <c r="BN1" s="539">
        <v>44348</v>
      </c>
      <c r="BO1" s="539">
        <v>44317</v>
      </c>
      <c r="BP1" s="539">
        <v>44287</v>
      </c>
      <c r="BQ1" s="539">
        <v>44256</v>
      </c>
      <c r="BR1" s="539">
        <v>44228</v>
      </c>
      <c r="BS1" s="539">
        <v>44197</v>
      </c>
    </row>
    <row r="2" spans="1:71">
      <c r="A2" s="539">
        <v>45962</v>
      </c>
      <c r="B2" s="537">
        <v>245.84</v>
      </c>
      <c r="D2" s="537">
        <v>266.23</v>
      </c>
      <c r="E2" s="537">
        <v>281.5</v>
      </c>
      <c r="F2" s="537">
        <v>244.01</v>
      </c>
      <c r="G2" s="537" t="s">
        <v>428</v>
      </c>
      <c r="H2" s="538">
        <v>-7.9000000000000001E-2</v>
      </c>
      <c r="L2" s="537" t="s">
        <v>427</v>
      </c>
      <c r="M2" s="537">
        <v>245.84</v>
      </c>
      <c r="N2" s="537">
        <v>266.94</v>
      </c>
      <c r="O2" s="537">
        <v>220.53</v>
      </c>
      <c r="P2" s="537">
        <v>195.19</v>
      </c>
      <c r="Q2" s="537">
        <v>174.73</v>
      </c>
      <c r="R2" s="537">
        <v>165.54</v>
      </c>
      <c r="S2" s="537">
        <v>158.08000000000001</v>
      </c>
      <c r="T2" s="537">
        <v>125.82</v>
      </c>
      <c r="U2" s="537">
        <v>126.43</v>
      </c>
      <c r="V2" s="537">
        <v>136.18</v>
      </c>
      <c r="W2" s="537">
        <v>167.52</v>
      </c>
      <c r="X2" s="537">
        <v>176.24</v>
      </c>
      <c r="Y2" s="537">
        <v>199.27</v>
      </c>
      <c r="Z2" s="537">
        <v>194.48</v>
      </c>
      <c r="AA2" s="537">
        <v>249.44</v>
      </c>
      <c r="AB2" s="537">
        <v>227.37</v>
      </c>
      <c r="AC2" s="537">
        <v>215.99</v>
      </c>
      <c r="AD2" s="537">
        <v>225.46</v>
      </c>
      <c r="AE2" s="537">
        <v>271.76</v>
      </c>
      <c r="AF2" s="537">
        <v>176.3</v>
      </c>
      <c r="AG2" s="537">
        <v>168.8</v>
      </c>
      <c r="AH2" s="537">
        <v>153.88999999999999</v>
      </c>
      <c r="AI2" s="537">
        <v>146.30000000000001</v>
      </c>
      <c r="AJ2" s="537">
        <v>172.28</v>
      </c>
      <c r="AK2" s="537">
        <v>157.78</v>
      </c>
      <c r="AL2" s="537">
        <v>142.44999999999999</v>
      </c>
      <c r="AM2" s="537">
        <v>161.59</v>
      </c>
      <c r="AN2" s="537">
        <v>189.12</v>
      </c>
      <c r="AO2" s="537">
        <v>207.4</v>
      </c>
      <c r="AP2" s="537">
        <v>190.09</v>
      </c>
      <c r="AQ2" s="537">
        <v>202.96</v>
      </c>
      <c r="AR2" s="537">
        <v>182.58</v>
      </c>
      <c r="AS2" s="537">
        <v>217.5</v>
      </c>
      <c r="AT2" s="537">
        <v>169.14</v>
      </c>
      <c r="AU2" s="537">
        <v>177.6</v>
      </c>
      <c r="AV2" s="537">
        <v>149.79</v>
      </c>
      <c r="AW2" s="537">
        <v>172.53</v>
      </c>
      <c r="AX2" s="537">
        <v>145.57</v>
      </c>
      <c r="AY2" s="537">
        <v>132.27000000000001</v>
      </c>
      <c r="AZ2" s="537">
        <v>127.55</v>
      </c>
      <c r="BA2" s="537">
        <v>99.17</v>
      </c>
      <c r="BB2" s="537">
        <v>68.13</v>
      </c>
      <c r="BC2" s="537">
        <v>70.61</v>
      </c>
      <c r="BD2" s="537">
        <v>73.03</v>
      </c>
      <c r="BE2" s="537">
        <v>83.74</v>
      </c>
      <c r="BF2" s="537">
        <v>75.290000000000006</v>
      </c>
      <c r="BG2" s="537">
        <v>78.38</v>
      </c>
      <c r="BH2" s="537">
        <v>87.16</v>
      </c>
      <c r="BI2" s="537">
        <v>103.6</v>
      </c>
      <c r="BJ2" s="537">
        <v>119.59</v>
      </c>
      <c r="BK2" s="537">
        <v>95.46</v>
      </c>
      <c r="BL2" s="537">
        <v>94</v>
      </c>
      <c r="BM2" s="537">
        <v>86.04</v>
      </c>
      <c r="BN2" s="537">
        <v>90.51</v>
      </c>
      <c r="BO2" s="537">
        <v>76.11</v>
      </c>
      <c r="BP2" s="537">
        <v>76.53</v>
      </c>
      <c r="BQ2" s="537">
        <v>87.3</v>
      </c>
      <c r="BR2" s="537">
        <v>81.02</v>
      </c>
      <c r="BS2" s="537">
        <v>99.15</v>
      </c>
    </row>
    <row r="3" spans="1:71">
      <c r="A3" s="539">
        <v>45931</v>
      </c>
      <c r="B3" s="537">
        <v>266.94</v>
      </c>
      <c r="D3" s="537">
        <v>221.78</v>
      </c>
      <c r="E3" s="537">
        <v>269.67</v>
      </c>
      <c r="F3" s="537">
        <v>216.63</v>
      </c>
      <c r="G3" s="537" t="s">
        <v>426</v>
      </c>
      <c r="H3" s="538">
        <v>0.2104</v>
      </c>
    </row>
    <row r="4" spans="1:71">
      <c r="A4" s="539">
        <v>45901</v>
      </c>
      <c r="B4" s="537">
        <v>220.53</v>
      </c>
      <c r="D4" s="537">
        <v>190.15</v>
      </c>
      <c r="E4" s="537">
        <v>228.34</v>
      </c>
      <c r="F4" s="537">
        <v>187.64</v>
      </c>
      <c r="G4" s="537" t="s">
        <v>425</v>
      </c>
      <c r="H4" s="538">
        <v>0.1298</v>
      </c>
    </row>
    <row r="5" spans="1:71">
      <c r="A5" s="539">
        <v>45870</v>
      </c>
      <c r="B5" s="537">
        <v>195.19</v>
      </c>
      <c r="D5" s="537">
        <v>186.34</v>
      </c>
      <c r="E5" s="537">
        <v>221.5</v>
      </c>
      <c r="F5" s="537">
        <v>176.47</v>
      </c>
      <c r="G5" s="537" t="s">
        <v>424</v>
      </c>
      <c r="H5" s="538">
        <v>0.1171</v>
      </c>
    </row>
    <row r="6" spans="1:71">
      <c r="A6" s="539">
        <v>45839</v>
      </c>
      <c r="B6" s="537">
        <v>174.73</v>
      </c>
      <c r="D6" s="537">
        <v>165.02</v>
      </c>
      <c r="E6" s="537">
        <v>189.5</v>
      </c>
      <c r="F6" s="537">
        <v>158.81</v>
      </c>
      <c r="G6" s="537" t="s">
        <v>423</v>
      </c>
      <c r="H6" s="538">
        <v>5.5500000000000001E-2</v>
      </c>
    </row>
    <row r="7" spans="1:71">
      <c r="A7" s="539">
        <v>45809</v>
      </c>
      <c r="B7" s="537">
        <v>165.54</v>
      </c>
      <c r="D7" s="537">
        <v>158.21</v>
      </c>
      <c r="E7" s="537">
        <v>179.5</v>
      </c>
      <c r="F7" s="537">
        <v>135.5</v>
      </c>
      <c r="G7" s="537" t="s">
        <v>422</v>
      </c>
      <c r="H7" s="538">
        <v>4.7199999999999999E-2</v>
      </c>
    </row>
    <row r="8" spans="1:71">
      <c r="A8" s="539">
        <v>45778</v>
      </c>
      <c r="B8" s="537">
        <v>158.08000000000001</v>
      </c>
      <c r="D8" s="537">
        <v>127.94</v>
      </c>
      <c r="E8" s="537">
        <v>198.87</v>
      </c>
      <c r="F8" s="537">
        <v>122.47</v>
      </c>
      <c r="G8" s="537" t="s">
        <v>421</v>
      </c>
      <c r="H8" s="538">
        <v>0.25640000000000002</v>
      </c>
    </row>
    <row r="9" spans="1:71">
      <c r="A9" s="539">
        <v>45748</v>
      </c>
      <c r="B9" s="537">
        <v>125.82</v>
      </c>
      <c r="D9" s="537">
        <v>126.11</v>
      </c>
      <c r="E9" s="537">
        <v>144.63</v>
      </c>
      <c r="F9" s="537">
        <v>116.56</v>
      </c>
      <c r="G9" s="537" t="s">
        <v>420</v>
      </c>
      <c r="H9" s="538">
        <v>-4.7999999999999996E-3</v>
      </c>
    </row>
    <row r="10" spans="1:71">
      <c r="A10" s="539">
        <v>45717</v>
      </c>
      <c r="B10" s="537">
        <v>126.43</v>
      </c>
      <c r="D10" s="537">
        <v>135.28</v>
      </c>
      <c r="E10" s="537">
        <v>140.97999999999999</v>
      </c>
      <c r="F10" s="537">
        <v>120.6</v>
      </c>
      <c r="G10" s="537" t="s">
        <v>419</v>
      </c>
      <c r="H10" s="538">
        <v>-7.1599999999999997E-2</v>
      </c>
    </row>
    <row r="11" spans="1:71">
      <c r="A11" s="539">
        <v>45689</v>
      </c>
      <c r="B11" s="537">
        <v>136.18</v>
      </c>
      <c r="D11" s="537">
        <v>163.31</v>
      </c>
      <c r="E11" s="537">
        <v>171.54</v>
      </c>
      <c r="F11" s="537">
        <v>133.9</v>
      </c>
      <c r="G11" s="537" t="s">
        <v>418</v>
      </c>
      <c r="H11" s="538">
        <v>-0.18709999999999999</v>
      </c>
    </row>
    <row r="12" spans="1:71">
      <c r="A12" s="539">
        <v>45658</v>
      </c>
      <c r="B12" s="537">
        <v>167.52</v>
      </c>
      <c r="D12" s="537">
        <v>177.91</v>
      </c>
      <c r="E12" s="537">
        <v>201.2</v>
      </c>
      <c r="F12" s="537">
        <v>158.08000000000001</v>
      </c>
      <c r="G12" s="537" t="s">
        <v>417</v>
      </c>
      <c r="H12" s="538">
        <v>-4.9500000000000002E-2</v>
      </c>
    </row>
    <row r="13" spans="1:71">
      <c r="A13" s="539">
        <v>45627</v>
      </c>
      <c r="B13" s="537">
        <v>176.24</v>
      </c>
      <c r="D13" s="537">
        <v>204.35</v>
      </c>
      <c r="E13" s="537">
        <v>212.15</v>
      </c>
      <c r="F13" s="537">
        <v>173.36</v>
      </c>
      <c r="G13" s="537" t="s">
        <v>416</v>
      </c>
      <c r="H13" s="538">
        <v>-0.11559999999999999</v>
      </c>
    </row>
    <row r="14" spans="1:71">
      <c r="A14" s="539">
        <v>45597</v>
      </c>
      <c r="B14" s="537">
        <v>199.27</v>
      </c>
      <c r="D14" s="537">
        <v>195.85</v>
      </c>
      <c r="E14" s="537">
        <v>221.2</v>
      </c>
      <c r="F14" s="537">
        <v>173.37</v>
      </c>
      <c r="G14" s="537" t="s">
        <v>415</v>
      </c>
      <c r="H14" s="538">
        <v>2.46E-2</v>
      </c>
    </row>
    <row r="15" spans="1:71">
      <c r="A15" s="539">
        <v>45566</v>
      </c>
      <c r="B15" s="537">
        <v>194.48</v>
      </c>
      <c r="D15" s="537">
        <v>249.44</v>
      </c>
      <c r="E15" s="537">
        <v>252.9</v>
      </c>
      <c r="F15" s="537">
        <v>183.68</v>
      </c>
      <c r="G15" s="537" t="s">
        <v>414</v>
      </c>
      <c r="H15" s="538">
        <v>-0.2203</v>
      </c>
    </row>
    <row r="16" spans="1:71">
      <c r="A16" s="539">
        <v>45536</v>
      </c>
      <c r="B16" s="537">
        <v>249.44</v>
      </c>
      <c r="D16" s="537">
        <v>226.65</v>
      </c>
      <c r="E16" s="537">
        <v>262.72000000000003</v>
      </c>
      <c r="F16" s="537">
        <v>202.15</v>
      </c>
      <c r="G16" s="537" t="s">
        <v>413</v>
      </c>
      <c r="H16" s="538">
        <v>9.7100000000000006E-2</v>
      </c>
    </row>
    <row r="17" spans="1:8">
      <c r="A17" s="539">
        <v>45505</v>
      </c>
      <c r="B17" s="537">
        <v>227.37</v>
      </c>
      <c r="D17" s="537">
        <v>219.1</v>
      </c>
      <c r="E17" s="537">
        <v>244.21</v>
      </c>
      <c r="F17" s="537">
        <v>195.27</v>
      </c>
      <c r="G17" s="537" t="s">
        <v>412</v>
      </c>
      <c r="H17" s="538">
        <v>5.2699999999999997E-2</v>
      </c>
    </row>
    <row r="18" spans="1:8">
      <c r="A18" s="539">
        <v>45474</v>
      </c>
      <c r="B18" s="537">
        <v>215.99</v>
      </c>
      <c r="D18" s="537">
        <v>224.75</v>
      </c>
      <c r="E18" s="537">
        <v>240.96</v>
      </c>
      <c r="F18" s="537">
        <v>206.85</v>
      </c>
      <c r="G18" s="537" t="s">
        <v>411</v>
      </c>
      <c r="H18" s="538">
        <v>-4.2000000000000003E-2</v>
      </c>
    </row>
    <row r="19" spans="1:8">
      <c r="A19" s="539">
        <v>45444</v>
      </c>
      <c r="B19" s="537">
        <v>225.46</v>
      </c>
      <c r="D19" s="537">
        <v>273.26</v>
      </c>
      <c r="E19" s="537">
        <v>306.77</v>
      </c>
      <c r="F19" s="537">
        <v>225.12</v>
      </c>
      <c r="G19" s="537" t="s">
        <v>410</v>
      </c>
      <c r="H19" s="538">
        <v>-0.1704</v>
      </c>
    </row>
    <row r="20" spans="1:8">
      <c r="A20" s="539">
        <v>45413</v>
      </c>
      <c r="B20" s="537">
        <v>271.76</v>
      </c>
      <c r="D20" s="537">
        <v>176.61</v>
      </c>
      <c r="E20" s="537">
        <v>286.60000000000002</v>
      </c>
      <c r="F20" s="537">
        <v>172.09</v>
      </c>
      <c r="G20" s="537" t="s">
        <v>409</v>
      </c>
      <c r="H20" s="538">
        <v>0.54149999999999998</v>
      </c>
    </row>
    <row r="21" spans="1:8">
      <c r="A21" s="539">
        <v>45383</v>
      </c>
      <c r="B21" s="537">
        <v>176.3</v>
      </c>
      <c r="D21" s="537">
        <v>169.72</v>
      </c>
      <c r="E21" s="537">
        <v>188.32</v>
      </c>
      <c r="F21" s="537">
        <v>162.16</v>
      </c>
      <c r="G21" s="537" t="s">
        <v>408</v>
      </c>
      <c r="H21" s="538">
        <v>4.4400000000000002E-2</v>
      </c>
    </row>
    <row r="22" spans="1:8">
      <c r="A22" s="539">
        <v>45352</v>
      </c>
      <c r="B22" s="537">
        <v>168.8</v>
      </c>
      <c r="D22" s="537">
        <v>152.74</v>
      </c>
      <c r="E22" s="537">
        <v>173.02</v>
      </c>
      <c r="F22" s="537">
        <v>145.77000000000001</v>
      </c>
      <c r="G22" s="537" t="s">
        <v>407</v>
      </c>
      <c r="H22" s="538">
        <v>9.69E-2</v>
      </c>
    </row>
    <row r="23" spans="1:8">
      <c r="A23" s="539">
        <v>45323</v>
      </c>
      <c r="B23" s="537">
        <v>153.88999999999999</v>
      </c>
      <c r="D23" s="537">
        <v>149.78</v>
      </c>
      <c r="E23" s="537">
        <v>163.43</v>
      </c>
      <c r="F23" s="537">
        <v>135.88</v>
      </c>
      <c r="G23" s="537" t="s">
        <v>406</v>
      </c>
      <c r="H23" s="538">
        <v>5.1900000000000002E-2</v>
      </c>
    </row>
    <row r="24" spans="1:8">
      <c r="A24" s="539">
        <v>45292</v>
      </c>
      <c r="B24" s="537">
        <v>146.30000000000001</v>
      </c>
      <c r="D24" s="537">
        <v>170.98</v>
      </c>
      <c r="E24" s="537">
        <v>177.89</v>
      </c>
      <c r="F24" s="537">
        <v>140.07</v>
      </c>
      <c r="G24" s="537" t="s">
        <v>405</v>
      </c>
      <c r="H24" s="538">
        <v>-0.15079999999999999</v>
      </c>
    </row>
    <row r="25" spans="1:8">
      <c r="A25" s="539">
        <v>45261</v>
      </c>
      <c r="B25" s="537">
        <v>172.28</v>
      </c>
      <c r="D25" s="537">
        <v>157.54</v>
      </c>
      <c r="E25" s="537">
        <v>177.51</v>
      </c>
      <c r="F25" s="537">
        <v>137.16999999999999</v>
      </c>
      <c r="G25" s="537" t="s">
        <v>404</v>
      </c>
      <c r="H25" s="538">
        <v>9.1899999999999996E-2</v>
      </c>
    </row>
    <row r="26" spans="1:8">
      <c r="A26" s="539">
        <v>45231</v>
      </c>
      <c r="B26" s="537">
        <v>157.78</v>
      </c>
      <c r="D26" s="537">
        <v>148.49</v>
      </c>
      <c r="E26" s="537">
        <v>162.47999999999999</v>
      </c>
      <c r="F26" s="537">
        <v>129.21</v>
      </c>
      <c r="G26" s="537" t="s">
        <v>403</v>
      </c>
      <c r="H26" s="538">
        <v>0.1076</v>
      </c>
    </row>
    <row r="27" spans="1:8">
      <c r="A27" s="539">
        <v>45200</v>
      </c>
      <c r="B27" s="537">
        <v>142.44999999999999</v>
      </c>
      <c r="D27" s="537">
        <v>160.5</v>
      </c>
      <c r="E27" s="537">
        <v>161.99</v>
      </c>
      <c r="F27" s="537">
        <v>132.19</v>
      </c>
      <c r="G27" s="537" t="s">
        <v>402</v>
      </c>
      <c r="H27" s="538">
        <v>-0.11840000000000001</v>
      </c>
    </row>
    <row r="28" spans="1:8">
      <c r="A28" s="539">
        <v>45170</v>
      </c>
      <c r="B28" s="537">
        <v>161.59</v>
      </c>
      <c r="D28" s="537">
        <v>191.27</v>
      </c>
      <c r="E28" s="537">
        <v>193.48</v>
      </c>
      <c r="F28" s="537">
        <v>157.49</v>
      </c>
      <c r="G28" s="537" t="s">
        <v>401</v>
      </c>
      <c r="H28" s="538">
        <v>-0.14560000000000001</v>
      </c>
    </row>
    <row r="29" spans="1:8">
      <c r="A29" s="539">
        <v>45139</v>
      </c>
      <c r="B29" s="537">
        <v>189.12</v>
      </c>
      <c r="D29" s="537">
        <v>207.38</v>
      </c>
      <c r="E29" s="537">
        <v>213.43</v>
      </c>
      <c r="F29" s="537">
        <v>173.74</v>
      </c>
      <c r="G29" s="537" t="s">
        <v>400</v>
      </c>
      <c r="H29" s="538">
        <v>-8.8099999999999998E-2</v>
      </c>
    </row>
    <row r="30" spans="1:8">
      <c r="A30" s="539">
        <v>45108</v>
      </c>
      <c r="B30" s="537">
        <v>207.4</v>
      </c>
      <c r="D30" s="537">
        <v>191.11</v>
      </c>
      <c r="E30" s="537">
        <v>224.5</v>
      </c>
      <c r="F30" s="537">
        <v>181.64</v>
      </c>
      <c r="G30" s="537" t="s">
        <v>399</v>
      </c>
      <c r="H30" s="538">
        <v>9.11E-2</v>
      </c>
    </row>
    <row r="31" spans="1:8">
      <c r="A31" s="539">
        <v>45078</v>
      </c>
      <c r="B31" s="537">
        <v>190.09</v>
      </c>
      <c r="D31" s="537">
        <v>204.62</v>
      </c>
      <c r="E31" s="537">
        <v>212.35</v>
      </c>
      <c r="F31" s="537">
        <v>176.96</v>
      </c>
      <c r="G31" s="537" t="s">
        <v>398</v>
      </c>
      <c r="H31" s="538">
        <v>-6.3399999999999998E-2</v>
      </c>
    </row>
    <row r="32" spans="1:8">
      <c r="A32" s="539">
        <v>45047</v>
      </c>
      <c r="B32" s="537">
        <v>202.96</v>
      </c>
      <c r="D32" s="537">
        <v>182.58</v>
      </c>
      <c r="E32" s="537">
        <v>232</v>
      </c>
      <c r="F32" s="537">
        <v>170.91</v>
      </c>
      <c r="G32" s="537" t="s">
        <v>397</v>
      </c>
      <c r="H32" s="538">
        <v>0.1116</v>
      </c>
    </row>
    <row r="33" spans="1:8">
      <c r="A33" s="539">
        <v>45017</v>
      </c>
      <c r="B33" s="537">
        <v>182.58</v>
      </c>
      <c r="D33" s="537">
        <v>217.28</v>
      </c>
      <c r="E33" s="537">
        <v>221.88</v>
      </c>
      <c r="F33" s="537">
        <v>170.55</v>
      </c>
      <c r="G33" s="537" t="s">
        <v>396</v>
      </c>
      <c r="H33" s="538">
        <v>-0.16059999999999999</v>
      </c>
    </row>
    <row r="34" spans="1:8">
      <c r="A34" s="539">
        <v>44986</v>
      </c>
      <c r="B34" s="537">
        <v>217.5</v>
      </c>
      <c r="D34" s="537">
        <v>180.55</v>
      </c>
      <c r="E34" s="537">
        <v>219.55</v>
      </c>
      <c r="F34" s="537">
        <v>177.29</v>
      </c>
      <c r="G34" s="537" t="s">
        <v>395</v>
      </c>
      <c r="H34" s="538">
        <v>0.28589999999999999</v>
      </c>
    </row>
    <row r="35" spans="1:8">
      <c r="A35" s="539">
        <v>44958</v>
      </c>
      <c r="B35" s="537">
        <v>169.14</v>
      </c>
      <c r="D35" s="537">
        <v>177.4</v>
      </c>
      <c r="E35" s="537">
        <v>182.35</v>
      </c>
      <c r="F35" s="537">
        <v>157</v>
      </c>
      <c r="G35" s="537" t="s">
        <v>394</v>
      </c>
      <c r="H35" s="538">
        <v>-4.7600000000000003E-2</v>
      </c>
    </row>
    <row r="36" spans="1:8">
      <c r="A36" s="539">
        <v>44927</v>
      </c>
      <c r="B36" s="537">
        <v>177.6</v>
      </c>
      <c r="D36" s="537">
        <v>151.01</v>
      </c>
      <c r="E36" s="537">
        <v>185.28</v>
      </c>
      <c r="F36" s="537">
        <v>141.81</v>
      </c>
      <c r="G36" s="537" t="s">
        <v>393</v>
      </c>
      <c r="H36" s="538">
        <v>0.1857</v>
      </c>
    </row>
    <row r="37" spans="1:8">
      <c r="A37" s="539">
        <v>44896</v>
      </c>
      <c r="B37" s="537">
        <v>149.79</v>
      </c>
      <c r="D37" s="537">
        <v>172.56</v>
      </c>
      <c r="E37" s="537">
        <v>173.63</v>
      </c>
      <c r="F37" s="537">
        <v>142.35</v>
      </c>
      <c r="G37" s="537" t="s">
        <v>392</v>
      </c>
      <c r="H37" s="538">
        <v>-0.1318</v>
      </c>
    </row>
    <row r="38" spans="1:8">
      <c r="A38" s="539">
        <v>44866</v>
      </c>
      <c r="B38" s="537">
        <v>172.53</v>
      </c>
      <c r="D38" s="537">
        <v>148</v>
      </c>
      <c r="E38" s="537">
        <v>173.68</v>
      </c>
      <c r="F38" s="537">
        <v>143.38</v>
      </c>
      <c r="G38" s="537" t="s">
        <v>391</v>
      </c>
      <c r="H38" s="538">
        <v>0.1852</v>
      </c>
    </row>
    <row r="39" spans="1:8">
      <c r="A39" s="539">
        <v>44835</v>
      </c>
      <c r="B39" s="537">
        <v>145.57</v>
      </c>
      <c r="D39" s="537">
        <v>132.69999999999999</v>
      </c>
      <c r="E39" s="537">
        <v>148.19999999999999</v>
      </c>
      <c r="F39" s="537">
        <v>115.66</v>
      </c>
      <c r="G39" s="537" t="s">
        <v>390</v>
      </c>
      <c r="H39" s="538">
        <v>0.10059999999999999</v>
      </c>
    </row>
    <row r="40" spans="1:8">
      <c r="A40" s="539">
        <v>44805</v>
      </c>
      <c r="B40" s="537">
        <v>132.27000000000001</v>
      </c>
      <c r="D40" s="537">
        <v>124.53</v>
      </c>
      <c r="E40" s="537">
        <v>140.63999999999999</v>
      </c>
      <c r="F40" s="537">
        <v>123.73</v>
      </c>
      <c r="G40" s="537" t="s">
        <v>389</v>
      </c>
      <c r="H40" s="538">
        <v>3.6999999999999998E-2</v>
      </c>
    </row>
    <row r="41" spans="1:8">
      <c r="A41" s="539">
        <v>44774</v>
      </c>
      <c r="B41" s="537">
        <v>127.55</v>
      </c>
      <c r="D41" s="537">
        <v>98.97</v>
      </c>
      <c r="E41" s="537">
        <v>130.25</v>
      </c>
      <c r="F41" s="537">
        <v>95.77</v>
      </c>
      <c r="G41" s="537" t="s">
        <v>388</v>
      </c>
      <c r="H41" s="538">
        <v>0.28620000000000001</v>
      </c>
    </row>
    <row r="42" spans="1:8">
      <c r="A42" s="539">
        <v>44743</v>
      </c>
      <c r="B42" s="537">
        <v>99.17</v>
      </c>
      <c r="D42" s="537">
        <v>67.58</v>
      </c>
      <c r="E42" s="537">
        <v>102.12</v>
      </c>
      <c r="F42" s="537">
        <v>60.96</v>
      </c>
      <c r="G42" s="537" t="s">
        <v>387</v>
      </c>
      <c r="H42" s="538">
        <v>0.4556</v>
      </c>
    </row>
    <row r="43" spans="1:8">
      <c r="A43" s="539">
        <v>44713</v>
      </c>
      <c r="B43" s="537">
        <v>68.13</v>
      </c>
      <c r="D43" s="537">
        <v>70.61</v>
      </c>
      <c r="E43" s="537">
        <v>76.72</v>
      </c>
      <c r="F43" s="537">
        <v>60.77</v>
      </c>
      <c r="G43" s="537" t="s">
        <v>386</v>
      </c>
      <c r="H43" s="538">
        <v>-3.5099999999999999E-2</v>
      </c>
    </row>
    <row r="44" spans="1:8">
      <c r="A44" s="539">
        <v>44682</v>
      </c>
      <c r="B44" s="537">
        <v>70.61</v>
      </c>
      <c r="D44" s="537">
        <v>72.77</v>
      </c>
      <c r="E44" s="537">
        <v>78.959999999999994</v>
      </c>
      <c r="F44" s="537">
        <v>59.6</v>
      </c>
      <c r="G44" s="537" t="s">
        <v>355</v>
      </c>
      <c r="H44" s="538">
        <v>-3.3099999999999997E-2</v>
      </c>
    </row>
    <row r="45" spans="1:8">
      <c r="A45" s="539">
        <v>44652</v>
      </c>
      <c r="B45" s="537">
        <v>73.03</v>
      </c>
      <c r="D45" s="537">
        <v>84.1</v>
      </c>
      <c r="E45" s="537">
        <v>86.31</v>
      </c>
      <c r="F45" s="537">
        <v>69.56</v>
      </c>
      <c r="G45" s="537" t="s">
        <v>385</v>
      </c>
      <c r="H45" s="538">
        <v>-0.12790000000000001</v>
      </c>
    </row>
    <row r="46" spans="1:8">
      <c r="A46" s="539">
        <v>44621</v>
      </c>
      <c r="B46" s="537">
        <v>83.74</v>
      </c>
      <c r="D46" s="537">
        <v>75.17</v>
      </c>
      <c r="E46" s="537">
        <v>85.79</v>
      </c>
      <c r="F46" s="537">
        <v>63.01</v>
      </c>
      <c r="G46" s="537" t="s">
        <v>384</v>
      </c>
      <c r="H46" s="538">
        <v>0.11219999999999999</v>
      </c>
    </row>
    <row r="47" spans="1:8">
      <c r="A47" s="539">
        <v>44593</v>
      </c>
      <c r="B47" s="537">
        <v>75.290000000000006</v>
      </c>
      <c r="D47" s="537">
        <v>78.319999999999993</v>
      </c>
      <c r="E47" s="537">
        <v>78.87</v>
      </c>
      <c r="F47" s="537">
        <v>61.24</v>
      </c>
      <c r="G47" s="537" t="s">
        <v>383</v>
      </c>
      <c r="H47" s="538">
        <v>-3.9399999999999998E-2</v>
      </c>
    </row>
    <row r="48" spans="1:8">
      <c r="A48" s="539">
        <v>44562</v>
      </c>
      <c r="B48" s="537">
        <v>78.38</v>
      </c>
      <c r="D48" s="537">
        <v>88.01</v>
      </c>
      <c r="E48" s="537">
        <v>91.36</v>
      </c>
      <c r="F48" s="537">
        <v>69.86</v>
      </c>
      <c r="G48" s="537" t="s">
        <v>382</v>
      </c>
      <c r="H48" s="538">
        <v>-0.1007</v>
      </c>
    </row>
    <row r="49" spans="1:8">
      <c r="A49" s="539">
        <v>44531</v>
      </c>
      <c r="B49" s="537">
        <v>87.16</v>
      </c>
      <c r="D49" s="537">
        <v>105.9</v>
      </c>
      <c r="E49" s="537">
        <v>108.18</v>
      </c>
      <c r="F49" s="537">
        <v>84.78</v>
      </c>
      <c r="G49" s="537" t="s">
        <v>355</v>
      </c>
      <c r="H49" s="538">
        <v>-0.15870000000000001</v>
      </c>
    </row>
    <row r="50" spans="1:8">
      <c r="A50" s="539">
        <v>44501</v>
      </c>
      <c r="B50" s="537">
        <v>103.6</v>
      </c>
      <c r="D50" s="537">
        <v>120.25</v>
      </c>
      <c r="E50" s="537">
        <v>123.13</v>
      </c>
      <c r="F50" s="537">
        <v>101.13</v>
      </c>
      <c r="G50" s="537" t="s">
        <v>381</v>
      </c>
      <c r="H50" s="538">
        <v>-0.13370000000000001</v>
      </c>
    </row>
    <row r="51" spans="1:8">
      <c r="A51" s="539">
        <v>44470</v>
      </c>
      <c r="B51" s="537">
        <v>119.59</v>
      </c>
      <c r="D51" s="537">
        <v>96.27</v>
      </c>
      <c r="E51" s="537">
        <v>120.9</v>
      </c>
      <c r="F51" s="537">
        <v>92.76</v>
      </c>
      <c r="G51" s="537" t="s">
        <v>380</v>
      </c>
      <c r="H51" s="538">
        <v>0.25280000000000002</v>
      </c>
    </row>
    <row r="52" spans="1:8">
      <c r="A52" s="539">
        <v>44440</v>
      </c>
      <c r="B52" s="537">
        <v>95.46</v>
      </c>
      <c r="D52" s="537">
        <v>94.46</v>
      </c>
      <c r="E52" s="537">
        <v>107.27</v>
      </c>
      <c r="F52" s="537">
        <v>90.18</v>
      </c>
      <c r="G52" s="537" t="s">
        <v>379</v>
      </c>
      <c r="H52" s="538">
        <v>1.55E-2</v>
      </c>
    </row>
    <row r="53" spans="1:8">
      <c r="A53" s="539">
        <v>44409</v>
      </c>
      <c r="B53" s="537">
        <v>94</v>
      </c>
      <c r="D53" s="537">
        <v>89.04</v>
      </c>
      <c r="E53" s="537">
        <v>97.55</v>
      </c>
      <c r="F53" s="537">
        <v>86.66</v>
      </c>
      <c r="G53" s="537" t="s">
        <v>378</v>
      </c>
      <c r="H53" s="538">
        <v>9.2499999999999999E-2</v>
      </c>
    </row>
    <row r="54" spans="1:8">
      <c r="A54" s="539">
        <v>44378</v>
      </c>
      <c r="B54" s="537">
        <v>86.04</v>
      </c>
      <c r="D54" s="537">
        <v>91.26</v>
      </c>
      <c r="E54" s="537">
        <v>95.64</v>
      </c>
      <c r="F54" s="537">
        <v>78.930000000000007</v>
      </c>
      <c r="G54" s="537" t="s">
        <v>377</v>
      </c>
      <c r="H54" s="538">
        <v>-4.9399999999999999E-2</v>
      </c>
    </row>
    <row r="55" spans="1:8">
      <c r="A55" s="539">
        <v>44348</v>
      </c>
      <c r="B55" s="537">
        <v>90.51</v>
      </c>
      <c r="D55" s="537">
        <v>77.239999999999995</v>
      </c>
      <c r="E55" s="537">
        <v>94.08</v>
      </c>
      <c r="F55" s="537">
        <v>73.91</v>
      </c>
      <c r="G55" s="537" t="s">
        <v>376</v>
      </c>
      <c r="H55" s="538">
        <v>0.18920000000000001</v>
      </c>
    </row>
    <row r="56" spans="1:8">
      <c r="A56" s="539">
        <v>44317</v>
      </c>
      <c r="B56" s="537">
        <v>76.11</v>
      </c>
      <c r="D56" s="537">
        <v>77.62</v>
      </c>
      <c r="E56" s="537">
        <v>78.180000000000007</v>
      </c>
      <c r="F56" s="537">
        <v>67.709999999999994</v>
      </c>
      <c r="G56" s="537" t="s">
        <v>375</v>
      </c>
      <c r="H56" s="538">
        <v>-5.4999999999999997E-3</v>
      </c>
    </row>
    <row r="57" spans="1:8">
      <c r="A57" s="539">
        <v>44287</v>
      </c>
      <c r="B57" s="537">
        <v>76.53</v>
      </c>
      <c r="D57" s="537">
        <v>88.79</v>
      </c>
      <c r="E57" s="537">
        <v>91.12</v>
      </c>
      <c r="F57" s="537">
        <v>75.760000000000005</v>
      </c>
      <c r="G57" s="537" t="s">
        <v>374</v>
      </c>
      <c r="H57" s="538">
        <v>-0.1234</v>
      </c>
    </row>
    <row r="58" spans="1:8">
      <c r="A58" s="539">
        <v>44256</v>
      </c>
      <c r="B58" s="537">
        <v>87.3</v>
      </c>
      <c r="D58" s="537">
        <v>82.23</v>
      </c>
      <c r="E58" s="537">
        <v>88.9</v>
      </c>
      <c r="F58" s="537">
        <v>68.069999999999993</v>
      </c>
      <c r="G58" s="537" t="s">
        <v>373</v>
      </c>
      <c r="H58" s="538">
        <v>7.7499999999999999E-2</v>
      </c>
    </row>
    <row r="59" spans="1:8">
      <c r="A59" s="539">
        <v>44228</v>
      </c>
      <c r="B59" s="537">
        <v>81.02</v>
      </c>
      <c r="D59" s="537">
        <v>99.58</v>
      </c>
      <c r="E59" s="537">
        <v>104.99</v>
      </c>
      <c r="F59" s="537">
        <v>77.900000000000006</v>
      </c>
      <c r="G59" s="537" t="s">
        <v>372</v>
      </c>
      <c r="H59" s="538">
        <v>-0.18290000000000001</v>
      </c>
    </row>
    <row r="60" spans="1:8">
      <c r="A60" s="539">
        <v>44197</v>
      </c>
      <c r="B60" s="537">
        <v>99.15</v>
      </c>
      <c r="D60" s="537">
        <v>101.58</v>
      </c>
      <c r="E60" s="537">
        <v>112.5</v>
      </c>
      <c r="F60" s="537">
        <v>91.3</v>
      </c>
      <c r="G60" s="537" t="s">
        <v>371</v>
      </c>
      <c r="H60" s="538">
        <v>2.3E-3</v>
      </c>
    </row>
    <row r="61" spans="1:8">
      <c r="A61" s="539">
        <v>44166</v>
      </c>
      <c r="B61" s="537">
        <v>98.92</v>
      </c>
      <c r="D61" s="537">
        <v>90.88</v>
      </c>
      <c r="E61" s="537">
        <v>109.09</v>
      </c>
      <c r="F61" s="537">
        <v>84.77</v>
      </c>
      <c r="G61" s="537" t="s">
        <v>370</v>
      </c>
      <c r="H61" s="538">
        <v>5.8799999999999998E-2</v>
      </c>
    </row>
    <row r="62" spans="1:8">
      <c r="A62" s="539">
        <v>44136</v>
      </c>
      <c r="B62" s="537">
        <v>93.43</v>
      </c>
      <c r="D62" s="537">
        <v>89</v>
      </c>
      <c r="E62" s="537">
        <v>98.46</v>
      </c>
      <c r="F62" s="537">
        <v>77.77</v>
      </c>
      <c r="G62" s="537" t="s">
        <v>369</v>
      </c>
      <c r="H62" s="538">
        <v>7.3400000000000007E-2</v>
      </c>
    </row>
    <row r="63" spans="1:8">
      <c r="A63" s="539">
        <v>44105</v>
      </c>
      <c r="B63" s="537">
        <v>87.04</v>
      </c>
      <c r="D63" s="537">
        <v>67.27</v>
      </c>
      <c r="E63" s="537">
        <v>97.93</v>
      </c>
      <c r="F63" s="537">
        <v>66.709999999999994</v>
      </c>
      <c r="G63" s="537" t="s">
        <v>368</v>
      </c>
      <c r="H63" s="538">
        <v>0.31490000000000001</v>
      </c>
    </row>
    <row r="64" spans="1:8">
      <c r="A64" s="539">
        <v>44075</v>
      </c>
      <c r="B64" s="537">
        <v>66.2</v>
      </c>
      <c r="D64" s="537">
        <v>76.61</v>
      </c>
      <c r="E64" s="537">
        <v>79.16</v>
      </c>
      <c r="F64" s="537">
        <v>59.52</v>
      </c>
      <c r="G64" s="537" t="s">
        <v>367</v>
      </c>
      <c r="H64" s="538">
        <v>-0.13569999999999999</v>
      </c>
    </row>
    <row r="65" spans="1:8">
      <c r="A65" s="539">
        <v>44044</v>
      </c>
      <c r="B65" s="537">
        <v>76.59</v>
      </c>
      <c r="D65" s="537">
        <v>60</v>
      </c>
      <c r="E65" s="537">
        <v>81.87</v>
      </c>
      <c r="F65" s="537">
        <v>59.29</v>
      </c>
      <c r="G65" s="537" t="s">
        <v>366</v>
      </c>
      <c r="H65" s="538">
        <v>0.28610000000000002</v>
      </c>
    </row>
    <row r="66" spans="1:8">
      <c r="A66" s="539">
        <v>44013</v>
      </c>
      <c r="B66" s="537">
        <v>59.55</v>
      </c>
      <c r="D66" s="537">
        <v>49.28</v>
      </c>
      <c r="E66" s="537">
        <v>63.68</v>
      </c>
      <c r="F66" s="537">
        <v>49.04</v>
      </c>
      <c r="G66" s="537" t="s">
        <v>365</v>
      </c>
      <c r="H66" s="538">
        <v>0.20300000000000001</v>
      </c>
    </row>
    <row r="67" spans="1:8">
      <c r="A67" s="539">
        <v>43983</v>
      </c>
      <c r="B67" s="537">
        <v>49.5</v>
      </c>
      <c r="D67" s="537">
        <v>46.5</v>
      </c>
      <c r="E67" s="537">
        <v>54.5</v>
      </c>
      <c r="F67" s="537">
        <v>46.26</v>
      </c>
      <c r="G67" s="537" t="s">
        <v>364</v>
      </c>
      <c r="H67" s="538">
        <v>6.1800000000000001E-2</v>
      </c>
    </row>
    <row r="68" spans="1:8">
      <c r="A68" s="539">
        <v>43952</v>
      </c>
      <c r="B68" s="537">
        <v>46.62</v>
      </c>
      <c r="D68" s="537">
        <v>42.5</v>
      </c>
      <c r="E68" s="537">
        <v>47.6</v>
      </c>
      <c r="F68" s="537">
        <v>37.92</v>
      </c>
      <c r="G68" s="537" t="s">
        <v>363</v>
      </c>
      <c r="H68" s="538">
        <v>5.9299999999999999E-2</v>
      </c>
    </row>
    <row r="69" spans="1:8">
      <c r="A69" s="539">
        <v>43922</v>
      </c>
      <c r="B69" s="537">
        <v>44.01</v>
      </c>
      <c r="D69" s="537">
        <v>34.75</v>
      </c>
      <c r="E69" s="537">
        <v>45.68</v>
      </c>
      <c r="F69" s="537">
        <v>33</v>
      </c>
      <c r="G69" s="537" t="s">
        <v>362</v>
      </c>
      <c r="H69" s="538">
        <v>0.2205</v>
      </c>
    </row>
    <row r="70" spans="1:8">
      <c r="A70" s="539">
        <v>43891</v>
      </c>
      <c r="B70" s="537">
        <v>36.06</v>
      </c>
      <c r="D70" s="537">
        <v>45.88</v>
      </c>
      <c r="E70" s="537">
        <v>46.22</v>
      </c>
      <c r="F70" s="537">
        <v>28.47</v>
      </c>
      <c r="G70" s="537" t="s">
        <v>361</v>
      </c>
      <c r="H70" s="538">
        <v>-0.21210000000000001</v>
      </c>
    </row>
    <row r="71" spans="1:8">
      <c r="A71" s="539">
        <v>43862</v>
      </c>
      <c r="B71" s="537">
        <v>45.77</v>
      </c>
      <c r="D71" s="537">
        <v>49.88</v>
      </c>
      <c r="E71" s="537">
        <v>59.9</v>
      </c>
      <c r="F71" s="537">
        <v>42.5</v>
      </c>
      <c r="G71" s="537" t="s">
        <v>360</v>
      </c>
      <c r="H71" s="538">
        <v>-7.6799999999999993E-2</v>
      </c>
    </row>
    <row r="72" spans="1:8">
      <c r="A72" s="539">
        <v>43831</v>
      </c>
      <c r="B72" s="537">
        <v>49.58</v>
      </c>
      <c r="D72" s="537">
        <v>56.4</v>
      </c>
      <c r="E72" s="537">
        <v>59.1</v>
      </c>
      <c r="F72" s="537">
        <v>49.24</v>
      </c>
      <c r="G72" s="537" t="s">
        <v>359</v>
      </c>
      <c r="H72" s="538">
        <v>-0.114</v>
      </c>
    </row>
    <row r="73" spans="1:8">
      <c r="A73" s="539">
        <v>43800</v>
      </c>
      <c r="B73" s="537">
        <v>55.96</v>
      </c>
      <c r="D73" s="537">
        <v>55.52</v>
      </c>
      <c r="E73" s="537">
        <v>59</v>
      </c>
      <c r="F73" s="537">
        <v>52.25</v>
      </c>
      <c r="G73" s="537" t="s">
        <v>358</v>
      </c>
      <c r="H73" s="538">
        <v>1.2999999999999999E-2</v>
      </c>
    </row>
    <row r="74" spans="1:8">
      <c r="A74" s="539">
        <v>43770</v>
      </c>
      <c r="B74" s="537">
        <v>55.24</v>
      </c>
      <c r="D74" s="537">
        <v>52.26</v>
      </c>
      <c r="E74" s="537">
        <v>55.8</v>
      </c>
      <c r="F74" s="537">
        <v>51.43</v>
      </c>
      <c r="G74" s="537" t="s">
        <v>357</v>
      </c>
      <c r="H74" s="538">
        <v>6.6600000000000006E-2</v>
      </c>
    </row>
    <row r="75" spans="1:8">
      <c r="A75" s="539">
        <v>43739</v>
      </c>
      <c r="B75" s="537">
        <v>51.79</v>
      </c>
      <c r="D75" s="537">
        <v>58.4</v>
      </c>
      <c r="E75" s="537">
        <v>62.88</v>
      </c>
      <c r="F75" s="537">
        <v>50.22</v>
      </c>
      <c r="G75" s="537" t="s">
        <v>356</v>
      </c>
      <c r="H75" s="538">
        <v>-0.1072</v>
      </c>
    </row>
    <row r="76" spans="1:8">
      <c r="A76" s="539">
        <v>43709</v>
      </c>
      <c r="B76" s="537">
        <v>58.01</v>
      </c>
      <c r="D76" s="537">
        <v>61.29</v>
      </c>
      <c r="E76" s="537">
        <v>68.55</v>
      </c>
      <c r="F76" s="537">
        <v>55.95</v>
      </c>
      <c r="G76" s="537" t="s">
        <v>355</v>
      </c>
      <c r="H76" s="538">
        <v>-6.54E-2</v>
      </c>
    </row>
    <row r="77" spans="1:8">
      <c r="A77" s="539">
        <v>43678</v>
      </c>
      <c r="B77" s="537">
        <v>62.07</v>
      </c>
      <c r="D77" s="537">
        <v>65.52</v>
      </c>
      <c r="E77" s="537">
        <v>69.239999999999995</v>
      </c>
      <c r="F77" s="537">
        <v>58.57</v>
      </c>
      <c r="G77" s="537" t="s">
        <v>354</v>
      </c>
      <c r="H77" s="538">
        <v>-3.7499999999999999E-2</v>
      </c>
    </row>
    <row r="78" spans="1:8">
      <c r="A78" s="539">
        <v>43647</v>
      </c>
      <c r="B78" s="537">
        <v>64.489999999999995</v>
      </c>
      <c r="D78" s="537">
        <v>66.3</v>
      </c>
      <c r="E78" s="537">
        <v>67.989999999999995</v>
      </c>
      <c r="F78" s="537">
        <v>64.09</v>
      </c>
      <c r="G78" s="537" t="s">
        <v>353</v>
      </c>
      <c r="H78" s="538">
        <v>-1.8100000000000002E-2</v>
      </c>
    </row>
    <row r="79" spans="1:8">
      <c r="A79" s="539">
        <v>43617</v>
      </c>
      <c r="B79" s="537">
        <v>65.680000000000007</v>
      </c>
      <c r="D79" s="537">
        <v>58</v>
      </c>
      <c r="E79" s="537">
        <v>66.05</v>
      </c>
      <c r="F79" s="537">
        <v>57.4</v>
      </c>
      <c r="G79" s="537" t="s">
        <v>352</v>
      </c>
      <c r="H79" s="538">
        <v>0.13159999999999999</v>
      </c>
    </row>
    <row r="80" spans="1:8">
      <c r="A80" s="539">
        <v>43586</v>
      </c>
      <c r="B80" s="537">
        <v>58.04</v>
      </c>
      <c r="D80" s="537">
        <v>62.09</v>
      </c>
      <c r="E80" s="537">
        <v>63.82</v>
      </c>
      <c r="F80" s="537">
        <v>56.54</v>
      </c>
      <c r="G80" s="537" t="s">
        <v>351</v>
      </c>
      <c r="H80" s="538">
        <v>-5.67E-2</v>
      </c>
    </row>
    <row r="81" spans="1:8">
      <c r="A81" s="539">
        <v>43556</v>
      </c>
      <c r="B81" s="537">
        <v>61.53</v>
      </c>
      <c r="D81" s="537">
        <v>53.29</v>
      </c>
      <c r="E81" s="537">
        <v>62.66</v>
      </c>
      <c r="F81" s="537">
        <v>53.18</v>
      </c>
      <c r="G81" s="537" t="s">
        <v>350</v>
      </c>
      <c r="H81" s="538">
        <v>0.16450000000000001</v>
      </c>
    </row>
    <row r="82" spans="1:8">
      <c r="A82" s="539">
        <v>43525</v>
      </c>
      <c r="B82" s="537">
        <v>52.84</v>
      </c>
      <c r="D82" s="537">
        <v>53.08</v>
      </c>
      <c r="E82" s="537">
        <v>56.04</v>
      </c>
      <c r="F82" s="537">
        <v>49.06</v>
      </c>
      <c r="G82" s="537" t="s">
        <v>349</v>
      </c>
      <c r="H82" s="538">
        <v>5.4999999999999997E-3</v>
      </c>
    </row>
    <row r="83" spans="1:8">
      <c r="A83" s="539">
        <v>43497</v>
      </c>
      <c r="B83" s="537">
        <v>52.55</v>
      </c>
      <c r="D83" s="537">
        <v>50.78</v>
      </c>
      <c r="E83" s="537">
        <v>55.38</v>
      </c>
      <c r="F83" s="537">
        <v>47.16</v>
      </c>
      <c r="G83" s="537" t="s">
        <v>348</v>
      </c>
      <c r="H83" s="538">
        <v>3.8699999999999998E-2</v>
      </c>
    </row>
    <row r="84" spans="1:8">
      <c r="A84" s="539">
        <v>43466</v>
      </c>
      <c r="B84" s="537">
        <v>50.59</v>
      </c>
      <c r="D84" s="537">
        <v>41.63</v>
      </c>
      <c r="E84" s="537">
        <v>51.43</v>
      </c>
      <c r="F84" s="537">
        <v>41.41</v>
      </c>
      <c r="G84" s="537" t="s">
        <v>347</v>
      </c>
      <c r="H84" s="538">
        <v>0.19159999999999999</v>
      </c>
    </row>
    <row r="85" spans="1:8">
      <c r="A85" s="539">
        <v>43435</v>
      </c>
      <c r="B85" s="537">
        <v>42.46</v>
      </c>
      <c r="D85" s="537">
        <v>45.9</v>
      </c>
      <c r="E85" s="537">
        <v>47.79</v>
      </c>
      <c r="F85" s="537">
        <v>38.450000000000003</v>
      </c>
      <c r="G85" s="537" t="s">
        <v>346</v>
      </c>
      <c r="H85" s="538">
        <v>-4.4900000000000002E-2</v>
      </c>
    </row>
    <row r="86" spans="1:8">
      <c r="A86" s="539">
        <v>43405</v>
      </c>
      <c r="B86" s="537">
        <v>44.45</v>
      </c>
      <c r="D86" s="537">
        <v>41.49</v>
      </c>
      <c r="E86" s="537">
        <v>46.09</v>
      </c>
      <c r="F86" s="537">
        <v>40.33</v>
      </c>
      <c r="G86" s="537" t="s">
        <v>345</v>
      </c>
      <c r="H86" s="538">
        <v>6.3399999999999998E-2</v>
      </c>
    </row>
    <row r="87" spans="1:8">
      <c r="A87" s="539">
        <v>43374</v>
      </c>
      <c r="B87" s="537">
        <v>41.8</v>
      </c>
      <c r="D87" s="537">
        <v>48.49</v>
      </c>
      <c r="E87" s="537">
        <v>50.06</v>
      </c>
      <c r="F87" s="537">
        <v>36.51</v>
      </c>
      <c r="G87" s="537" t="s">
        <v>344</v>
      </c>
      <c r="H87" s="538">
        <v>-0.13669999999999999</v>
      </c>
    </row>
    <row r="88" spans="1:8">
      <c r="A88" s="539">
        <v>43344</v>
      </c>
      <c r="B88" s="537">
        <v>48.42</v>
      </c>
      <c r="D88" s="537">
        <v>51.96</v>
      </c>
      <c r="E88" s="537">
        <v>52.22</v>
      </c>
      <c r="F88" s="537">
        <v>47.34</v>
      </c>
      <c r="G88" s="537" t="s">
        <v>343</v>
      </c>
      <c r="H88" s="538">
        <v>-7.0300000000000001E-2</v>
      </c>
    </row>
    <row r="89" spans="1:8">
      <c r="A89" s="539">
        <v>43313</v>
      </c>
      <c r="B89" s="537">
        <v>52.08</v>
      </c>
      <c r="D89" s="537">
        <v>53.15</v>
      </c>
      <c r="E89" s="537">
        <v>55.24</v>
      </c>
      <c r="F89" s="537">
        <v>49.97</v>
      </c>
      <c r="G89" s="537" t="s">
        <v>342</v>
      </c>
      <c r="H89" s="538">
        <v>-5.1999999999999998E-3</v>
      </c>
    </row>
    <row r="90" spans="1:8">
      <c r="A90" s="539">
        <v>43282</v>
      </c>
      <c r="B90" s="537">
        <v>52.35</v>
      </c>
      <c r="D90" s="537">
        <v>52.28</v>
      </c>
      <c r="E90" s="537">
        <v>55.75</v>
      </c>
      <c r="F90" s="537">
        <v>48</v>
      </c>
      <c r="G90" s="537" t="s">
        <v>341</v>
      </c>
      <c r="H90" s="538">
        <v>-5.8999999999999999E-3</v>
      </c>
    </row>
    <row r="91" spans="1:8">
      <c r="A91" s="539">
        <v>43252</v>
      </c>
      <c r="B91" s="537">
        <v>52.66</v>
      </c>
      <c r="D91" s="537">
        <v>68.06</v>
      </c>
      <c r="E91" s="537">
        <v>68.400000000000006</v>
      </c>
      <c r="F91" s="537">
        <v>50.23</v>
      </c>
      <c r="G91" s="537" t="s">
        <v>340</v>
      </c>
      <c r="H91" s="538">
        <v>-0.22109999999999999</v>
      </c>
    </row>
    <row r="92" spans="1:8">
      <c r="A92" s="539">
        <v>43221</v>
      </c>
      <c r="B92" s="537">
        <v>67.61</v>
      </c>
      <c r="D92" s="537">
        <v>71</v>
      </c>
      <c r="E92" s="537">
        <v>75.75</v>
      </c>
      <c r="F92" s="537">
        <v>65.05</v>
      </c>
      <c r="G92" s="537" t="s">
        <v>339</v>
      </c>
      <c r="H92" s="538">
        <v>-4.65E-2</v>
      </c>
    </row>
    <row r="93" spans="1:8">
      <c r="A93" s="539">
        <v>43191</v>
      </c>
      <c r="B93" s="537">
        <v>70.91</v>
      </c>
      <c r="D93" s="537">
        <v>70.73</v>
      </c>
      <c r="E93" s="537">
        <v>81.72</v>
      </c>
      <c r="F93" s="537">
        <v>67.010000000000005</v>
      </c>
      <c r="G93" s="537" t="s">
        <v>338</v>
      </c>
      <c r="H93" s="538">
        <v>-1E-3</v>
      </c>
    </row>
    <row r="94" spans="1:8">
      <c r="A94" s="539">
        <v>43160</v>
      </c>
      <c r="B94" s="537">
        <v>70.98</v>
      </c>
      <c r="D94" s="537">
        <v>63.3</v>
      </c>
      <c r="E94" s="537">
        <v>74.680000000000007</v>
      </c>
      <c r="F94" s="537">
        <v>61.14</v>
      </c>
      <c r="G94" s="537" t="s">
        <v>337</v>
      </c>
      <c r="H94" s="538">
        <v>0.12939999999999999</v>
      </c>
    </row>
    <row r="95" spans="1:8">
      <c r="A95" s="539">
        <v>43132</v>
      </c>
      <c r="B95" s="537">
        <v>62.85</v>
      </c>
      <c r="D95" s="537">
        <v>66.650000000000006</v>
      </c>
      <c r="E95" s="537">
        <v>68.37</v>
      </c>
      <c r="F95" s="537">
        <v>58.8</v>
      </c>
      <c r="G95" s="537" t="s">
        <v>336</v>
      </c>
      <c r="H95" s="538">
        <v>-6.4299999999999996E-2</v>
      </c>
    </row>
    <row r="96" spans="1:8">
      <c r="A96" s="539">
        <v>43101</v>
      </c>
      <c r="B96" s="537">
        <v>67.17</v>
      </c>
      <c r="D96" s="537">
        <v>67.84</v>
      </c>
      <c r="E96" s="537">
        <v>76.61</v>
      </c>
      <c r="F96" s="537">
        <v>66.040000000000006</v>
      </c>
      <c r="G96" s="537" t="s">
        <v>335</v>
      </c>
      <c r="H96" s="538">
        <v>-5.1999999999999998E-3</v>
      </c>
    </row>
    <row r="97" spans="1:8">
      <c r="A97" s="539">
        <v>43070</v>
      </c>
      <c r="B97" s="537">
        <v>67.52</v>
      </c>
      <c r="D97" s="537">
        <v>61.68</v>
      </c>
      <c r="E97" s="537">
        <v>71.8</v>
      </c>
      <c r="F97" s="537">
        <v>56.13</v>
      </c>
      <c r="G97" s="537" t="s">
        <v>334</v>
      </c>
      <c r="H97" s="538">
        <v>8.7300000000000003E-2</v>
      </c>
    </row>
    <row r="98" spans="1:8">
      <c r="A98" s="539">
        <v>43040</v>
      </c>
      <c r="B98" s="537">
        <v>62.1</v>
      </c>
      <c r="D98" s="537">
        <v>55.36</v>
      </c>
      <c r="E98" s="537">
        <v>63.1</v>
      </c>
      <c r="F98" s="537">
        <v>54.71</v>
      </c>
      <c r="G98" s="537" t="s">
        <v>333</v>
      </c>
      <c r="H98" s="538">
        <v>0.1328</v>
      </c>
    </row>
    <row r="99" spans="1:8">
      <c r="A99" s="539">
        <v>43009</v>
      </c>
      <c r="B99" s="537">
        <v>54.82</v>
      </c>
      <c r="D99" s="537">
        <v>46.3</v>
      </c>
      <c r="E99" s="537">
        <v>61.47</v>
      </c>
      <c r="F99" s="537">
        <v>45.27</v>
      </c>
      <c r="G99" s="537" t="s">
        <v>332</v>
      </c>
      <c r="H99" s="538">
        <v>0.19489999999999999</v>
      </c>
    </row>
    <row r="100" spans="1:8">
      <c r="A100" s="539">
        <v>42979</v>
      </c>
      <c r="B100" s="537">
        <v>45.88</v>
      </c>
      <c r="D100" s="537">
        <v>47.01</v>
      </c>
      <c r="E100" s="537">
        <v>53</v>
      </c>
      <c r="F100" s="537">
        <v>45.26</v>
      </c>
      <c r="G100" s="537" t="s">
        <v>331</v>
      </c>
      <c r="H100" s="538">
        <v>-2.3E-2</v>
      </c>
    </row>
    <row r="101" spans="1:8">
      <c r="A101" s="539">
        <v>42948</v>
      </c>
      <c r="B101" s="537">
        <v>46.96</v>
      </c>
      <c r="D101" s="537">
        <v>49.85</v>
      </c>
      <c r="E101" s="537">
        <v>50.21</v>
      </c>
      <c r="F101" s="537">
        <v>45.76</v>
      </c>
      <c r="G101" s="537" t="s">
        <v>330</v>
      </c>
      <c r="H101" s="538">
        <v>-4.7699999999999999E-2</v>
      </c>
    </row>
    <row r="102" spans="1:8">
      <c r="A102" s="539">
        <v>42917</v>
      </c>
      <c r="B102" s="537">
        <v>49.31</v>
      </c>
      <c r="D102" s="537">
        <v>39.92</v>
      </c>
      <c r="E102" s="537">
        <v>49.75</v>
      </c>
      <c r="F102" s="537">
        <v>38.36</v>
      </c>
      <c r="G102" s="537" t="s">
        <v>329</v>
      </c>
      <c r="H102" s="538">
        <v>0.23649999999999999</v>
      </c>
    </row>
    <row r="103" spans="1:8">
      <c r="A103" s="539">
        <v>42887</v>
      </c>
      <c r="B103" s="537">
        <v>39.880000000000003</v>
      </c>
      <c r="D103" s="537">
        <v>38.61</v>
      </c>
      <c r="E103" s="537">
        <v>41.17</v>
      </c>
      <c r="F103" s="537">
        <v>35.33</v>
      </c>
      <c r="G103" s="537" t="s">
        <v>328</v>
      </c>
      <c r="H103" s="538">
        <v>3.56E-2</v>
      </c>
    </row>
    <row r="104" spans="1:8">
      <c r="A104" s="539">
        <v>42856</v>
      </c>
      <c r="B104" s="537">
        <v>38.51</v>
      </c>
      <c r="D104" s="537">
        <v>29.99</v>
      </c>
      <c r="E104" s="537">
        <v>39.92</v>
      </c>
      <c r="F104" s="537">
        <v>29.23</v>
      </c>
      <c r="G104" s="537" t="s">
        <v>327</v>
      </c>
      <c r="H104" s="538">
        <v>0.30320000000000003</v>
      </c>
    </row>
    <row r="105" spans="1:8">
      <c r="A105" s="539">
        <v>42826</v>
      </c>
      <c r="B105" s="537">
        <v>29.55</v>
      </c>
      <c r="D105" s="537">
        <v>27.17</v>
      </c>
      <c r="E105" s="537">
        <v>30.5</v>
      </c>
      <c r="F105" s="537">
        <v>25.56</v>
      </c>
      <c r="G105" s="537" t="s">
        <v>326</v>
      </c>
      <c r="H105" s="538">
        <v>9.0399999999999994E-2</v>
      </c>
    </row>
    <row r="106" spans="1:8">
      <c r="A106" s="539">
        <v>42795</v>
      </c>
      <c r="B106" s="537">
        <v>27.1</v>
      </c>
      <c r="D106" s="537">
        <v>36.54</v>
      </c>
      <c r="E106" s="537">
        <v>36.880000000000003</v>
      </c>
      <c r="F106" s="537">
        <v>27.08</v>
      </c>
      <c r="G106" s="537" t="s">
        <v>325</v>
      </c>
      <c r="H106" s="538">
        <v>-0.25119999999999998</v>
      </c>
    </row>
    <row r="107" spans="1:8">
      <c r="A107" s="539">
        <v>42767</v>
      </c>
      <c r="B107" s="537">
        <v>36.19</v>
      </c>
      <c r="D107" s="537">
        <v>31.4</v>
      </c>
      <c r="E107" s="537">
        <v>38.5</v>
      </c>
      <c r="F107" s="537">
        <v>30.8</v>
      </c>
      <c r="G107" s="537" t="s">
        <v>324</v>
      </c>
      <c r="H107" s="538">
        <v>0.1603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D9AFA59A90734CB9362EC3A5CEFA35" ma:contentTypeVersion="9" ma:contentTypeDescription="Create a new document." ma:contentTypeScope="" ma:versionID="65bab425c1ed860c561bb0822f7e25b3">
  <xsd:schema xmlns:xsd="http://www.w3.org/2001/XMLSchema" xmlns:xs="http://www.w3.org/2001/XMLSchema" xmlns:p="http://schemas.microsoft.com/office/2006/metadata/properties" xmlns:ns3="15e9b2b8-2b64-47cc-b955-1c94d2ffce5c" targetNamespace="http://schemas.microsoft.com/office/2006/metadata/properties" ma:root="true" ma:fieldsID="a1113d29d08697f957668278ae1d186e" ns3:_="">
    <xsd:import namespace="15e9b2b8-2b64-47cc-b955-1c94d2ffce5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9b2b8-2b64-47cc-b955-1c94d2ffce5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e9b2b8-2b64-47cc-b955-1c94d2ffce5c" xsi:nil="true"/>
  </documentManagement>
</p:properties>
</file>

<file path=customXml/itemProps1.xml><?xml version="1.0" encoding="utf-8"?>
<ds:datastoreItem xmlns:ds="http://schemas.openxmlformats.org/officeDocument/2006/customXml" ds:itemID="{10DE2F10-9FE8-4034-B390-09904316CC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B57C4C-A0F8-4454-866E-942101A1FF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9b2b8-2b64-47cc-b955-1c94d2ffc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B2874E-8BD7-4CAA-88D1-EC3DFE231EA2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15e9b2b8-2b64-47cc-b955-1c94d2ffce5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Cover</vt:lpstr>
      <vt:lpstr>Assumptions</vt:lpstr>
      <vt:lpstr>Metrics &amp; Drivers</vt:lpstr>
      <vt:lpstr>Additional Schedules</vt:lpstr>
      <vt:lpstr>Three Statement Model</vt:lpstr>
      <vt:lpstr>DCF</vt:lpstr>
      <vt:lpstr>WACC</vt:lpstr>
      <vt:lpstr>Comps</vt:lpstr>
      <vt:lpstr>FIELD</vt:lpstr>
      <vt:lpstr>Case Comparison</vt:lpstr>
      <vt:lpstr>Formatting</vt:lpstr>
      <vt:lpstr>Stock Data</vt:lpstr>
      <vt:lpstr>CurrentPrice</vt:lpstr>
      <vt:lpstr>IFF_Price</vt:lpstr>
      <vt:lpstr>TargetCurrentPrice</vt:lpstr>
      <vt:lpstr>TargetDilutedShares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Lau</dc:creator>
  <cp:keywords/>
  <dc:description/>
  <cp:lastModifiedBy>Alex Brown</cp:lastModifiedBy>
  <cp:revision/>
  <dcterms:created xsi:type="dcterms:W3CDTF">2022-11-22T21:03:59Z</dcterms:created>
  <dcterms:modified xsi:type="dcterms:W3CDTF">2025-11-21T21:22:11Z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0x01010022D9AFA59A90734CB9362EC3A5CEFA35</vt:lpwstr>
  </property>
</Properties>
</file>